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aa6da3f1e081b060/Desktop/"/>
    </mc:Choice>
  </mc:AlternateContent>
  <xr:revisionPtr revIDLastSave="2" documentId="8_{73E0155B-937A-460B-83C9-4EDFA85D51E8}" xr6:coauthVersionLast="47" xr6:coauthVersionMax="47" xr10:uidLastSave="{834C7099-9D96-4AB3-BFD1-49A393CF465E}"/>
  <bookViews>
    <workbookView xWindow="-110" yWindow="-110" windowWidth="25820" windowHeight="15500" tabRatio="500" xr2:uid="{00000000-000D-0000-FFFF-FFFF00000000}"/>
  </bookViews>
  <sheets>
    <sheet name="Gantt" sheetId="1" r:id="rId1"/>
  </sheets>
  <definedNames>
    <definedName name="_xlnm.Print_Titles" localSheetId="0">Gantt!$3:$6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8" i="1" l="1"/>
  <c r="G107" i="1"/>
  <c r="C107" i="1"/>
  <c r="G106" i="1"/>
  <c r="G105" i="1"/>
  <c r="C105" i="1"/>
  <c r="G104" i="1"/>
  <c r="G103" i="1"/>
  <c r="C103" i="1"/>
  <c r="G102" i="1"/>
  <c r="G101" i="1"/>
  <c r="C101" i="1"/>
  <c r="G100" i="1"/>
  <c r="G99" i="1"/>
  <c r="C99" i="1"/>
  <c r="G98" i="1"/>
  <c r="G97" i="1"/>
  <c r="C97" i="1"/>
  <c r="G96" i="1"/>
  <c r="G95" i="1"/>
  <c r="C95" i="1"/>
  <c r="G94" i="1"/>
  <c r="G93" i="1"/>
  <c r="C93" i="1"/>
  <c r="G92" i="1"/>
  <c r="G91" i="1"/>
  <c r="C91" i="1"/>
  <c r="G90" i="1"/>
  <c r="G89" i="1"/>
  <c r="C89" i="1"/>
  <c r="G88" i="1"/>
  <c r="G87" i="1"/>
  <c r="C87" i="1"/>
  <c r="G86" i="1"/>
  <c r="G85" i="1"/>
  <c r="C85" i="1"/>
  <c r="G84" i="1"/>
  <c r="G83" i="1"/>
  <c r="C83" i="1"/>
  <c r="G82" i="1"/>
  <c r="G81" i="1"/>
  <c r="C81" i="1"/>
  <c r="G80" i="1"/>
  <c r="G79" i="1"/>
  <c r="C79" i="1"/>
  <c r="G78" i="1"/>
  <c r="G77" i="1"/>
  <c r="C77" i="1"/>
  <c r="G76" i="1"/>
  <c r="G75" i="1"/>
  <c r="C75" i="1"/>
  <c r="G74" i="1"/>
  <c r="G73" i="1"/>
  <c r="C73" i="1"/>
  <c r="G72" i="1"/>
  <c r="G71" i="1"/>
  <c r="C71" i="1"/>
  <c r="G70" i="1"/>
  <c r="G69" i="1"/>
  <c r="C69" i="1"/>
  <c r="G68" i="1"/>
  <c r="G67" i="1"/>
  <c r="C67" i="1"/>
  <c r="G66" i="1"/>
  <c r="G65" i="1"/>
  <c r="C65" i="1"/>
  <c r="G64" i="1"/>
  <c r="G63" i="1"/>
  <c r="C63" i="1"/>
  <c r="G62" i="1"/>
  <c r="G61" i="1"/>
  <c r="C61" i="1"/>
  <c r="G60" i="1"/>
  <c r="G59" i="1"/>
  <c r="C59" i="1"/>
  <c r="G58" i="1"/>
  <c r="G57" i="1"/>
  <c r="C57" i="1"/>
  <c r="G56" i="1"/>
  <c r="G55" i="1"/>
  <c r="C55" i="1"/>
  <c r="G54" i="1"/>
  <c r="G53" i="1"/>
  <c r="C53" i="1"/>
  <c r="G52" i="1"/>
  <c r="G51" i="1"/>
  <c r="C51" i="1"/>
  <c r="G50" i="1"/>
  <c r="G49" i="1"/>
  <c r="C49" i="1"/>
  <c r="G48" i="1"/>
  <c r="G47" i="1"/>
  <c r="C47" i="1"/>
  <c r="G46" i="1"/>
  <c r="G45" i="1"/>
  <c r="C45" i="1"/>
  <c r="G44" i="1"/>
  <c r="G43" i="1"/>
  <c r="C43" i="1"/>
  <c r="G42" i="1"/>
  <c r="G41" i="1"/>
  <c r="C41" i="1"/>
  <c r="G40" i="1"/>
  <c r="G39" i="1"/>
  <c r="C39" i="1"/>
  <c r="G38" i="1"/>
  <c r="G37" i="1"/>
  <c r="C37" i="1"/>
  <c r="G36" i="1"/>
  <c r="G35" i="1"/>
  <c r="C35" i="1"/>
  <c r="G34" i="1"/>
  <c r="G33" i="1"/>
  <c r="C33" i="1"/>
  <c r="G32" i="1"/>
  <c r="G31" i="1"/>
  <c r="C31" i="1"/>
  <c r="G30" i="1"/>
  <c r="G29" i="1"/>
  <c r="C29" i="1"/>
  <c r="G28" i="1"/>
  <c r="G27" i="1"/>
  <c r="C27" i="1"/>
  <c r="G26" i="1"/>
  <c r="G25" i="1"/>
  <c r="C25" i="1"/>
  <c r="G24" i="1"/>
  <c r="G23" i="1"/>
  <c r="C23" i="1"/>
  <c r="G22" i="1"/>
  <c r="G21" i="1"/>
  <c r="C21" i="1"/>
  <c r="G20" i="1"/>
  <c r="G19" i="1"/>
  <c r="C19" i="1"/>
  <c r="G18" i="1"/>
  <c r="G17" i="1"/>
  <c r="C17" i="1"/>
  <c r="G16" i="1"/>
  <c r="G15" i="1"/>
  <c r="C15" i="1"/>
  <c r="G14" i="1"/>
  <c r="G13" i="1"/>
  <c r="C13" i="1"/>
  <c r="G12" i="1"/>
  <c r="G11" i="1"/>
  <c r="C11" i="1"/>
  <c r="G10" i="1"/>
  <c r="G9" i="1"/>
  <c r="C9" i="1"/>
  <c r="G8" i="1"/>
  <c r="G7" i="1"/>
  <c r="C7" i="1"/>
  <c r="J6" i="1"/>
  <c r="J5" i="1"/>
  <c r="K5" i="1" s="1"/>
  <c r="L5" i="1" l="1"/>
  <c r="K6" i="1"/>
  <c r="L6" i="1" l="1"/>
  <c r="M5" i="1"/>
  <c r="M6" i="1" l="1"/>
  <c r="N5" i="1"/>
  <c r="N6" i="1" l="1"/>
  <c r="O5" i="1"/>
  <c r="O6" i="1" l="1"/>
  <c r="P5" i="1"/>
  <c r="Q5" i="1" l="1"/>
  <c r="P6" i="1"/>
  <c r="Q6" i="1" l="1"/>
  <c r="R5" i="1"/>
  <c r="S5" i="1" l="1"/>
  <c r="R6" i="1"/>
  <c r="S6" i="1" l="1"/>
  <c r="T5" i="1"/>
  <c r="U5" i="1" l="1"/>
  <c r="T6" i="1"/>
  <c r="V5" i="1" l="1"/>
  <c r="U6" i="1"/>
  <c r="W5" i="1" l="1"/>
  <c r="V6" i="1"/>
  <c r="X5" i="1" l="1"/>
  <c r="W6" i="1"/>
  <c r="Y5" i="1" l="1"/>
  <c r="X6" i="1"/>
  <c r="Z5" i="1" l="1"/>
  <c r="Y6" i="1"/>
  <c r="AA5" i="1" l="1"/>
  <c r="Z6" i="1"/>
  <c r="AB5" i="1" l="1"/>
  <c r="AA6" i="1"/>
  <c r="AC5" i="1" l="1"/>
  <c r="AB6" i="1"/>
  <c r="AD5" i="1" l="1"/>
  <c r="AC6" i="1"/>
  <c r="AE5" i="1" l="1"/>
  <c r="AD6" i="1"/>
  <c r="AF5" i="1" l="1"/>
  <c r="AE6" i="1"/>
  <c r="AG5" i="1" l="1"/>
  <c r="AF6" i="1"/>
  <c r="AH5" i="1" l="1"/>
  <c r="AG6" i="1"/>
  <c r="AI5" i="1" l="1"/>
  <c r="AH6" i="1"/>
  <c r="AJ5" i="1" l="1"/>
  <c r="AI6" i="1"/>
  <c r="AJ6" i="1" l="1"/>
  <c r="AK5" i="1"/>
  <c r="AK6" i="1" l="1"/>
  <c r="AL5" i="1"/>
  <c r="AL6" i="1" l="1"/>
  <c r="AM5" i="1"/>
  <c r="AM6" i="1" l="1"/>
  <c r="AN5" i="1"/>
  <c r="AN6" i="1" l="1"/>
  <c r="AO5" i="1"/>
  <c r="AO6" i="1" l="1"/>
  <c r="AP5" i="1"/>
  <c r="AP6" i="1" l="1"/>
  <c r="AQ5" i="1"/>
  <c r="AQ6" i="1" l="1"/>
  <c r="AR5" i="1"/>
  <c r="AS5" i="1" l="1"/>
  <c r="AR6" i="1"/>
  <c r="AT5" i="1" l="1"/>
  <c r="AS6" i="1"/>
  <c r="AU5" i="1" l="1"/>
  <c r="AT6" i="1"/>
  <c r="AV5" i="1" l="1"/>
  <c r="AU6" i="1"/>
  <c r="AW5" i="1" l="1"/>
  <c r="AV6" i="1"/>
  <c r="AX5" i="1" l="1"/>
  <c r="AW6" i="1"/>
  <c r="AY5" i="1" l="1"/>
  <c r="AX6" i="1"/>
  <c r="AZ5" i="1" l="1"/>
  <c r="AY6" i="1"/>
  <c r="BA5" i="1" l="1"/>
  <c r="AZ6" i="1"/>
  <c r="BB5" i="1" l="1"/>
  <c r="BA6" i="1"/>
  <c r="BC5" i="1" l="1"/>
  <c r="BB6" i="1"/>
  <c r="BD5" i="1" l="1"/>
  <c r="BC6" i="1"/>
  <c r="BE5" i="1" l="1"/>
  <c r="BD6" i="1"/>
  <c r="BF5" i="1" l="1"/>
  <c r="BE6" i="1"/>
  <c r="BG5" i="1" l="1"/>
  <c r="BF6" i="1"/>
  <c r="BH5" i="1" l="1"/>
  <c r="BG6" i="1"/>
  <c r="BH6" i="1" l="1"/>
  <c r="BI5" i="1"/>
  <c r="BI6" i="1" l="1"/>
  <c r="BJ5" i="1"/>
  <c r="BJ6" i="1" l="1"/>
  <c r="BK5" i="1"/>
  <c r="BK6" i="1" l="1"/>
  <c r="BL5" i="1"/>
  <c r="BL6" i="1" l="1"/>
  <c r="BM5" i="1"/>
  <c r="BN5" i="1" l="1"/>
  <c r="BM6" i="1"/>
  <c r="BO5" i="1" l="1"/>
  <c r="BN6" i="1"/>
  <c r="BO6" i="1" l="1"/>
  <c r="BP5" i="1"/>
  <c r="BQ5" i="1" l="1"/>
  <c r="BP6" i="1"/>
  <c r="BR5" i="1" l="1"/>
  <c r="BQ6" i="1"/>
  <c r="BS5" i="1" l="1"/>
  <c r="BR6" i="1"/>
  <c r="BT5" i="1" l="1"/>
  <c r="BS6" i="1"/>
  <c r="BU5" i="1" l="1"/>
  <c r="BT6" i="1"/>
  <c r="BV5" i="1" l="1"/>
  <c r="BU6" i="1"/>
  <c r="BW5" i="1" l="1"/>
  <c r="BV6" i="1"/>
  <c r="BX5" i="1" l="1"/>
  <c r="BW6" i="1"/>
  <c r="BY5" i="1" l="1"/>
  <c r="BX6" i="1"/>
  <c r="BY6" i="1" l="1"/>
  <c r="BZ5" i="1"/>
  <c r="BZ6" i="1" s="1"/>
</calcChain>
</file>

<file path=xl/sharedStrings.xml><?xml version="1.0" encoding="utf-8"?>
<sst xmlns="http://schemas.openxmlformats.org/spreadsheetml/2006/main" count="269" uniqueCount="113">
  <si>
    <t>AI-Powered Autonomous Vacuum Cleaner Robot - Project Gantt Chart (Daily View)</t>
  </si>
  <si>
    <t>Project start</t>
  </si>
  <si>
    <t>Projected</t>
  </si>
  <si>
    <t>Project end</t>
  </si>
  <si>
    <t>Actual</t>
  </si>
  <si>
    <t>Wk 1</t>
  </si>
  <si>
    <t>Wk 2</t>
  </si>
  <si>
    <t>Wk 3</t>
  </si>
  <si>
    <t>Wk 4</t>
  </si>
  <si>
    <t>Wk 5</t>
  </si>
  <si>
    <t>Wk 6</t>
  </si>
  <si>
    <t>Wk 7</t>
  </si>
  <si>
    <t>Wk 8</t>
  </si>
  <si>
    <t>Wk 9</t>
  </si>
  <si>
    <t>Wk 10</t>
  </si>
  <si>
    <t>Wk 11</t>
  </si>
  <si>
    <t>Wk 12</t>
  </si>
  <si>
    <t>Wk 13</t>
  </si>
  <si>
    <t>Wk 14</t>
  </si>
  <si>
    <t>Aug</t>
  </si>
  <si>
    <t>September 2026</t>
  </si>
  <si>
    <t>October 2026</t>
  </si>
  <si>
    <t>November 2026</t>
  </si>
  <si>
    <t>Dec</t>
  </si>
  <si>
    <t>Phase</t>
  </si>
  <si>
    <t>Task</t>
  </si>
  <si>
    <t>Week(s)</t>
  </si>
  <si>
    <t>Type</t>
  </si>
  <si>
    <t>Start</t>
  </si>
  <si>
    <t>Finish</t>
  </si>
  <si>
    <t>Work Days</t>
  </si>
  <si>
    <t>Status</t>
  </si>
  <si>
    <t>Notes / Parallel Task</t>
  </si>
  <si>
    <t>1. Design &amp; Planning</t>
  </si>
  <si>
    <t>Finalise system architecture &amp; confirm component selection</t>
  </si>
  <si>
    <t>Done</t>
  </si>
  <si>
    <t>Order components (Cytron / Shopee)</t>
  </si>
  <si>
    <t>In progress</t>
  </si>
  <si>
    <t>Design 3D print files (chassis body, top cover, sensor mounts, impeller housing)</t>
  </si>
  <si>
    <t>Parallel with component delivery</t>
  </si>
  <si>
    <t>Draft hardware &amp; software system block diagrams + 3D concept sketch</t>
  </si>
  <si>
    <t>Design dustbin (3D print file)</t>
  </si>
  <si>
    <t>Added</t>
  </si>
  <si>
    <t>Review &amp; finalise design documentation</t>
  </si>
  <si>
    <t>Logbooks 1-4</t>
  </si>
  <si>
    <t>2. Hardware Build</t>
  </si>
  <si>
    <t>3D print chassis parts (body, top cover, wheel mounts)</t>
  </si>
  <si>
    <t>Assemble chassis frame (base)</t>
  </si>
  <si>
    <t>CRITICAL - base must be complete; parallel with printing</t>
  </si>
  <si>
    <t>Wire drivetrain motors + encoders</t>
  </si>
  <si>
    <t>Wire power distribution (3S LiPo, switch / fuse, 5V buck converter)</t>
  </si>
  <si>
    <t>Power for RPi 5, Arduino, motors, blower</t>
  </si>
  <si>
    <t>Bench-test power rails &amp; battery protection</t>
  </si>
  <si>
    <t>Check 11.1V and 5V before connecting electronics</t>
  </si>
  <si>
    <t>Follow GPIO wiring diagram</t>
  </si>
  <si>
    <t>Wire compute &amp; peripherals (RPi 5, Arduino, RPLIDAR, Pi camera)</t>
  </si>
  <si>
    <t>Final wiring check &amp; cable tidy</t>
  </si>
  <si>
    <t>Bench-test motors &amp; motor drivers</t>
  </si>
  <si>
    <t>3D print dustbin</t>
  </si>
  <si>
    <t>Added - after chassis print</t>
  </si>
  <si>
    <t>3D print impeller housing &amp; brush roller mounts</t>
  </si>
  <si>
    <t>Parallel with drivetrain wiring</t>
  </si>
  <si>
    <t>Assemble impeller + suction blower + brush motor</t>
  </si>
  <si>
    <t>Integrate suction assembly into chassis</t>
  </si>
  <si>
    <t>Bench-test suction system</t>
  </si>
  <si>
    <t>3. Software &amp; AI</t>
  </si>
  <si>
    <t>lidar.py</t>
  </si>
  <si>
    <t>Parallel with suction build</t>
  </si>
  <si>
    <t>motor.py</t>
  </si>
  <si>
    <t>sensors.py (IR + dust sensor)</t>
  </si>
  <si>
    <t>odometry.py</t>
  </si>
  <si>
    <t>Integration test of hardware modules</t>
  </si>
  <si>
    <t>SLAM.py (LiDAR mapping)</t>
  </si>
  <si>
    <t>CRITICAL - navigation depends on the map</t>
  </si>
  <si>
    <t>path_planner.py</t>
  </si>
  <si>
    <t>controller.py</t>
  </si>
  <si>
    <t>SLAM + control integration test</t>
  </si>
  <si>
    <t>Collect floor / dirt training images</t>
  </si>
  <si>
    <t>Parallel with SLAM work</t>
  </si>
  <si>
    <t>Train surface_classifier.py</t>
  </si>
  <si>
    <t>Model training started</t>
  </si>
  <si>
    <t>Train dirt_detector.py</t>
  </si>
  <si>
    <t>Convert &amp; test TFLite models on RPi 5</t>
  </si>
  <si>
    <t>4. Integration &amp; Testing</t>
  </si>
  <si>
    <t>Integrate classifier output with suction control logic</t>
  </si>
  <si>
    <t>Obstacle avoidance testing</t>
  </si>
  <si>
    <t>Bug fixing &amp; refinement</t>
  </si>
  <si>
    <t>Build Flask REST API (server.py)</t>
  </si>
  <si>
    <t>Parallel with cleaning logic</t>
  </si>
  <si>
    <t>Set up MQTT broker &amp; client (Mosquitto)</t>
  </si>
  <si>
    <t>Develop Flutter visualiser app</t>
  </si>
  <si>
    <t>Full-system integration (robot + app)</t>
  </si>
  <si>
    <t>End-to-end system testing</t>
  </si>
  <si>
    <t>Debugging</t>
  </si>
  <si>
    <t>Safety / regulatory checks</t>
  </si>
  <si>
    <t>5. Report &amp; Project Defence</t>
  </si>
  <si>
    <t>Report writing - draft chapters (intro, design, implementation)</t>
  </si>
  <si>
    <t>Start drafting while building</t>
  </si>
  <si>
    <t>Report writing - testing, results &amp; conclusion</t>
  </si>
  <si>
    <t>After testing wraps up</t>
  </si>
  <si>
    <t>Compile appendices, logbooks &amp; IEEE references</t>
  </si>
  <si>
    <t>Submit final project report</t>
  </si>
  <si>
    <t>DEADLINE - Wed 25 Nov</t>
  </si>
  <si>
    <t>Viva preparation - presentation slides</t>
  </si>
  <si>
    <t>Parallel with report review</t>
  </si>
  <si>
    <t>Submit viva slides</t>
  </si>
  <si>
    <t>DEADLINE - Mon 30 Nov</t>
  </si>
  <si>
    <t>Viva preparation - demo setup &amp; robot readiness check</t>
  </si>
  <si>
    <t>Viva preparation - mock viva &amp; Q&amp;A rehearsal</t>
  </si>
  <si>
    <t>Project defence (viva)</t>
  </si>
  <si>
    <t>DEADLINE - Wed 2 Dec</t>
  </si>
  <si>
    <t>Wire sensors (FC-51 IR sensor, dust sensor, IR docking beacon)</t>
  </si>
  <si>
    <t xml:space="preserve">Printing using Bambu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</si>
</sst>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d\ mmm\ yyyy"/>
    <numFmt numFmtId="165" formatCode="d"/>
    <numFmt numFmtId="166" formatCode="ddd"/>
    <numFmt numFmtId="167" formatCode="ddd\ d\ mmm"/>
  </numFmts>
  <fonts count="10" x14ac:knownFonts="1">
    <font>
      <sz val="11"/>
      <color theme="1"/>
      <name val="Calibri"/>
      <family val="2"/>
      <charset val="1"/>
    </font>
    <font>
      <b/>
      <sz val="14"/>
      <color rgb="FF1F3864"/>
      <name val="Arial"/>
      <charset val="1"/>
    </font>
    <font>
      <b/>
      <sz val="9"/>
      <name val="Arial"/>
      <charset val="1"/>
    </font>
    <font>
      <sz val="9"/>
      <color rgb="FF0000FF"/>
      <name val="Arial"/>
      <charset val="1"/>
    </font>
    <font>
      <b/>
      <sz val="9"/>
      <color rgb="FFFFFFFF"/>
      <name val="Arial"/>
      <charset val="1"/>
    </font>
    <font>
      <sz val="9"/>
      <name val="Arial"/>
      <charset val="1"/>
    </font>
    <font>
      <b/>
      <sz val="9"/>
      <color rgb="FF1F3864"/>
      <name val="Arial"/>
      <charset val="1"/>
    </font>
    <font>
      <b/>
      <sz val="9"/>
      <color rgb="FF375623"/>
      <name val="Arial"/>
      <charset val="1"/>
    </font>
    <font>
      <b/>
      <sz val="9"/>
      <color rgb="FFC00000"/>
      <name val="Arial"/>
      <charset val="1"/>
    </font>
    <font>
      <i/>
      <sz val="9"/>
      <color rgb="FF595959"/>
      <name val="Arial"/>
      <charset val="1"/>
    </font>
  </fonts>
  <fills count="7">
    <fill>
      <patternFill patternType="none"/>
    </fill>
    <fill>
      <patternFill patternType="gray125"/>
    </fill>
    <fill>
      <patternFill patternType="solid">
        <fgColor rgb="FF2F5597"/>
        <bgColor rgb="FF1F3864"/>
      </patternFill>
    </fill>
    <fill>
      <patternFill patternType="solid">
        <fgColor rgb="FF70AD47"/>
        <bgColor rgb="FF339966"/>
      </patternFill>
    </fill>
    <fill>
      <patternFill patternType="solid">
        <fgColor rgb="FF1F3864"/>
        <bgColor rgb="FF2F5597"/>
      </patternFill>
    </fill>
    <fill>
      <patternFill patternType="solid">
        <fgColor rgb="FFDEEAF6"/>
        <bgColor rgb="FFE2EFDA"/>
      </patternFill>
    </fill>
    <fill>
      <patternFill patternType="solid">
        <fgColor rgb="FFE2EFDA"/>
        <bgColor rgb="FFDEEAF6"/>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7F7F7F"/>
      </top>
      <bottom style="thin">
        <color rgb="FFBFBFBF"/>
      </bottom>
      <diagonal/>
    </border>
    <border>
      <left style="thin">
        <color rgb="FFBFBFBF"/>
      </left>
      <right style="thin">
        <color rgb="FFBFBFBF"/>
      </right>
      <top style="thin">
        <color rgb="FFBFBFBF"/>
      </top>
      <bottom style="thin">
        <color rgb="FF7F7F7F"/>
      </bottom>
      <diagonal/>
    </border>
  </borders>
  <cellStyleXfs count="1">
    <xf numFmtId="0" fontId="0" fillId="0" borderId="0"/>
  </cellStyleXfs>
  <cellXfs count="26">
    <xf numFmtId="0" fontId="0" fillId="0" borderId="0" xfId="0"/>
    <xf numFmtId="0" fontId="8" fillId="0" borderId="2" xfId="0" applyFont="1" applyBorder="1" applyAlignment="1">
      <alignment horizontal="left" vertical="center" wrapText="1"/>
    </xf>
    <xf numFmtId="0" fontId="3"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2" fillId="0" borderId="2"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0" borderId="0" xfId="0" applyFont="1"/>
    <xf numFmtId="0" fontId="2" fillId="0" borderId="0" xfId="0" applyFont="1"/>
    <xf numFmtId="164" fontId="3" fillId="0" borderId="0" xfId="0" applyNumberFormat="1" applyFont="1" applyAlignment="1">
      <alignment horizontal="left"/>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4" fontId="5" fillId="0" borderId="0" xfId="0" applyNumberFormat="1" applyFont="1" applyAlignment="1">
      <alignment horizontal="left"/>
    </xf>
    <xf numFmtId="0" fontId="4" fillId="4" borderId="1" xfId="0" applyFont="1" applyFill="1" applyBorder="1" applyAlignment="1">
      <alignment horizontal="center" vertical="center" wrapText="1"/>
    </xf>
    <xf numFmtId="165" fontId="4" fillId="4" borderId="1" xfId="0" applyNumberFormat="1" applyFont="1" applyFill="1" applyBorder="1" applyAlignment="1">
      <alignment horizontal="center" vertical="center" wrapText="1"/>
    </xf>
    <xf numFmtId="166" fontId="4" fillId="4" borderId="1" xfId="0" applyNumberFormat="1" applyFont="1" applyFill="1" applyBorder="1" applyAlignment="1">
      <alignment horizontal="center" vertical="center" textRotation="90"/>
    </xf>
    <xf numFmtId="0" fontId="5" fillId="0" borderId="2" xfId="0" applyFont="1" applyBorder="1" applyAlignment="1">
      <alignment horizontal="center" vertical="center" wrapText="1"/>
    </xf>
    <xf numFmtId="0" fontId="6" fillId="5" borderId="2" xfId="0" applyFont="1" applyFill="1" applyBorder="1" applyAlignment="1">
      <alignment horizontal="center" vertical="center" wrapText="1"/>
    </xf>
    <xf numFmtId="167" fontId="3" fillId="0" borderId="2" xfId="0" applyNumberFormat="1" applyFont="1" applyBorder="1" applyAlignment="1">
      <alignment horizontal="center" vertical="center" wrapText="1"/>
    </xf>
    <xf numFmtId="0" fontId="0" fillId="0" borderId="2" xfId="0" applyBorder="1"/>
    <xf numFmtId="0" fontId="7" fillId="6" borderId="3" xfId="0" applyFont="1" applyFill="1" applyBorder="1" applyAlignment="1">
      <alignment horizontal="center" vertical="center" wrapText="1"/>
    </xf>
    <xf numFmtId="167" fontId="3" fillId="0" borderId="3"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0" fillId="0" borderId="3" xfId="0" applyBorder="1"/>
    <xf numFmtId="0" fontId="9" fillId="0" borderId="0" xfId="0" applyFont="1"/>
  </cellXfs>
  <cellStyles count="1">
    <cellStyle name="Normal" xfId="0" builtinId="0"/>
  </cellStyles>
  <dxfs count="11">
    <dxf>
      <fill>
        <patternFill>
          <bgColor rgb="FFF7F7F7"/>
        </patternFill>
      </fill>
    </dxf>
    <dxf>
      <fill>
        <patternFill>
          <bgColor rgb="FFFFE699"/>
        </patternFill>
      </fill>
    </dxf>
    <dxf>
      <fill>
        <patternFill>
          <bgColor rgb="FF70AD47"/>
        </patternFill>
      </fill>
    </dxf>
    <dxf>
      <fill>
        <patternFill>
          <bgColor rgb="FF2F5597"/>
        </patternFill>
      </fill>
    </dxf>
    <dxf>
      <fill>
        <patternFill>
          <bgColor rgb="FFC00000"/>
        </patternFill>
      </fill>
    </dxf>
    <dxf>
      <font>
        <b/>
        <color rgb="FF006100"/>
        <name val="Arial"/>
        <charset val="1"/>
      </font>
      <fill>
        <patternFill>
          <bgColor rgb="FFC6EFCE"/>
        </patternFill>
      </fill>
    </dxf>
    <dxf>
      <fill>
        <patternFill>
          <bgColor rgb="FFF7F7F7"/>
        </patternFill>
      </fill>
    </dxf>
    <dxf>
      <fill>
        <patternFill>
          <bgColor rgb="FFFFE699"/>
        </patternFill>
      </fill>
    </dxf>
    <dxf>
      <fill>
        <patternFill>
          <bgColor rgb="FF70AD47"/>
        </patternFill>
      </fill>
    </dxf>
    <dxf>
      <fill>
        <patternFill>
          <bgColor rgb="FF2F5597"/>
        </patternFill>
      </fill>
    </dxf>
    <dxf>
      <font>
        <b/>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7F7F7"/>
      <rgbColor rgb="FFDE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FE699"/>
      <rgbColor rgb="FF99CCFF"/>
      <rgbColor rgb="FFFF99CC"/>
      <rgbColor rgb="FFCC99FF"/>
      <rgbColor rgb="FFFFCC99"/>
      <rgbColor rgb="FF3366FF"/>
      <rgbColor rgb="FF33CCCC"/>
      <rgbColor rgb="FF99CC00"/>
      <rgbColor rgb="FFFFCC00"/>
      <rgbColor rgb="FFFF9900"/>
      <rgbColor rgb="FFFF6600"/>
      <rgbColor rgb="FF595959"/>
      <rgbColor rgb="FF70AD47"/>
      <rgbColor rgb="FF1F3864"/>
      <rgbColor rgb="FF339966"/>
      <rgbColor rgb="FF003300"/>
      <rgbColor rgb="FF333300"/>
      <rgbColor rgb="FF993300"/>
      <rgbColor rgb="FF993366"/>
      <rgbColor rgb="FF2F5597"/>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Z112"/>
  <sheetViews>
    <sheetView showGridLines="0" tabSelected="1" zoomScaleNormal="100" workbookViewId="0">
      <pane ySplit="6" topLeftCell="A7" activePane="bottomLeft" state="frozen"/>
      <selection pane="bottomLeft" activeCell="F44" sqref="F44"/>
    </sheetView>
  </sheetViews>
  <sheetFormatPr defaultColWidth="8.6328125" defaultRowHeight="14.5" x14ac:dyDescent="0.35"/>
  <cols>
    <col min="1" max="1" width="26" customWidth="1"/>
    <col min="2" max="2" width="54" customWidth="1"/>
    <col min="3" max="4" width="10" customWidth="1"/>
    <col min="5" max="6" width="12" customWidth="1"/>
    <col min="7" max="7" width="8" customWidth="1"/>
    <col min="8" max="8" width="11" customWidth="1"/>
    <col min="9" max="9" width="32" customWidth="1"/>
    <col min="10" max="78" width="3.6328125" customWidth="1"/>
  </cols>
  <sheetData>
    <row r="1" spans="1:78" ht="24" customHeight="1" x14ac:dyDescent="0.4">
      <c r="A1" s="8" t="s">
        <v>0</v>
      </c>
    </row>
    <row r="2" spans="1:78" x14ac:dyDescent="0.35">
      <c r="A2" s="9" t="s">
        <v>1</v>
      </c>
      <c r="B2" s="10">
        <v>46262</v>
      </c>
      <c r="D2" s="11" t="s">
        <v>2</v>
      </c>
    </row>
    <row r="3" spans="1:78" ht="15" customHeight="1" x14ac:dyDescent="0.35">
      <c r="A3" s="9" t="s">
        <v>3</v>
      </c>
      <c r="B3" s="10">
        <v>46358</v>
      </c>
      <c r="D3" s="12" t="s">
        <v>4</v>
      </c>
      <c r="J3" s="7" t="s">
        <v>5</v>
      </c>
      <c r="K3" s="7"/>
      <c r="L3" s="7"/>
      <c r="M3" s="7"/>
      <c r="N3" s="7"/>
      <c r="O3" s="7" t="s">
        <v>6</v>
      </c>
      <c r="P3" s="7"/>
      <c r="Q3" s="7"/>
      <c r="R3" s="7"/>
      <c r="S3" s="7"/>
      <c r="T3" s="7" t="s">
        <v>7</v>
      </c>
      <c r="U3" s="7"/>
      <c r="V3" s="7"/>
      <c r="W3" s="7"/>
      <c r="X3" s="7"/>
      <c r="Y3" s="7" t="s">
        <v>8</v>
      </c>
      <c r="Z3" s="7"/>
      <c r="AA3" s="7"/>
      <c r="AB3" s="7"/>
      <c r="AC3" s="7"/>
      <c r="AD3" s="7" t="s">
        <v>9</v>
      </c>
      <c r="AE3" s="7"/>
      <c r="AF3" s="7"/>
      <c r="AG3" s="7"/>
      <c r="AH3" s="7"/>
      <c r="AI3" s="7" t="s">
        <v>10</v>
      </c>
      <c r="AJ3" s="7"/>
      <c r="AK3" s="7"/>
      <c r="AL3" s="7"/>
      <c r="AM3" s="7"/>
      <c r="AN3" s="7" t="s">
        <v>11</v>
      </c>
      <c r="AO3" s="7"/>
      <c r="AP3" s="7"/>
      <c r="AQ3" s="7"/>
      <c r="AR3" s="7"/>
      <c r="AS3" s="7" t="s">
        <v>12</v>
      </c>
      <c r="AT3" s="7"/>
      <c r="AU3" s="7"/>
      <c r="AV3" s="7"/>
      <c r="AW3" s="7"/>
      <c r="AX3" s="7" t="s">
        <v>13</v>
      </c>
      <c r="AY3" s="7"/>
      <c r="AZ3" s="7"/>
      <c r="BA3" s="7"/>
      <c r="BB3" s="7"/>
      <c r="BC3" s="7" t="s">
        <v>14</v>
      </c>
      <c r="BD3" s="7"/>
      <c r="BE3" s="7"/>
      <c r="BF3" s="7"/>
      <c r="BG3" s="7"/>
      <c r="BH3" s="7" t="s">
        <v>15</v>
      </c>
      <c r="BI3" s="7"/>
      <c r="BJ3" s="7"/>
      <c r="BK3" s="7"/>
      <c r="BL3" s="7"/>
      <c r="BM3" s="7" t="s">
        <v>16</v>
      </c>
      <c r="BN3" s="7"/>
      <c r="BO3" s="7"/>
      <c r="BP3" s="7"/>
      <c r="BQ3" s="7"/>
      <c r="BR3" s="7" t="s">
        <v>17</v>
      </c>
      <c r="BS3" s="7"/>
      <c r="BT3" s="7"/>
      <c r="BU3" s="7"/>
      <c r="BV3" s="7"/>
      <c r="BW3" s="7" t="s">
        <v>18</v>
      </c>
      <c r="BX3" s="7"/>
      <c r="BY3" s="7"/>
      <c r="BZ3" s="7"/>
    </row>
    <row r="4" spans="1:78" ht="15" customHeight="1" x14ac:dyDescent="0.35">
      <c r="A4" s="9"/>
      <c r="B4" s="13"/>
      <c r="J4" s="6" t="s">
        <v>19</v>
      </c>
      <c r="K4" s="6"/>
      <c r="L4" s="6" t="s">
        <v>20</v>
      </c>
      <c r="M4" s="6"/>
      <c r="N4" s="6"/>
      <c r="O4" s="6"/>
      <c r="P4" s="6"/>
      <c r="Q4" s="6"/>
      <c r="R4" s="6"/>
      <c r="S4" s="6"/>
      <c r="T4" s="6"/>
      <c r="U4" s="6"/>
      <c r="V4" s="6"/>
      <c r="W4" s="6"/>
      <c r="X4" s="6"/>
      <c r="Y4" s="6"/>
      <c r="Z4" s="6"/>
      <c r="AA4" s="6"/>
      <c r="AB4" s="6"/>
      <c r="AC4" s="6"/>
      <c r="AD4" s="6"/>
      <c r="AE4" s="6"/>
      <c r="AF4" s="6"/>
      <c r="AG4" s="6"/>
      <c r="AH4" s="6" t="s">
        <v>21</v>
      </c>
      <c r="AI4" s="6"/>
      <c r="AJ4" s="6"/>
      <c r="AK4" s="6"/>
      <c r="AL4" s="6"/>
      <c r="AM4" s="6"/>
      <c r="AN4" s="6"/>
      <c r="AO4" s="6"/>
      <c r="AP4" s="6"/>
      <c r="AQ4" s="6"/>
      <c r="AR4" s="6"/>
      <c r="AS4" s="6"/>
      <c r="AT4" s="6"/>
      <c r="AU4" s="6"/>
      <c r="AV4" s="6"/>
      <c r="AW4" s="6"/>
      <c r="AX4" s="6"/>
      <c r="AY4" s="6"/>
      <c r="AZ4" s="6"/>
      <c r="BA4" s="6"/>
      <c r="BB4" s="6"/>
      <c r="BC4" s="6"/>
      <c r="BD4" s="6" t="s">
        <v>22</v>
      </c>
      <c r="BE4" s="6"/>
      <c r="BF4" s="6"/>
      <c r="BG4" s="6"/>
      <c r="BH4" s="6"/>
      <c r="BI4" s="6"/>
      <c r="BJ4" s="6"/>
      <c r="BK4" s="6"/>
      <c r="BL4" s="6"/>
      <c r="BM4" s="6"/>
      <c r="BN4" s="6"/>
      <c r="BO4" s="6"/>
      <c r="BP4" s="6"/>
      <c r="BQ4" s="6"/>
      <c r="BR4" s="6"/>
      <c r="BS4" s="6"/>
      <c r="BT4" s="6"/>
      <c r="BU4" s="6"/>
      <c r="BV4" s="6"/>
      <c r="BW4" s="6"/>
      <c r="BX4" s="6"/>
      <c r="BY4" s="6" t="s">
        <v>23</v>
      </c>
      <c r="BZ4" s="6"/>
    </row>
    <row r="5" spans="1:78" x14ac:dyDescent="0.35">
      <c r="J5" s="15">
        <f>$B$2</f>
        <v>46262</v>
      </c>
      <c r="K5" s="15">
        <f t="shared" ref="K5:AP5" si="0">WORKDAY(J5,1)</f>
        <v>46265</v>
      </c>
      <c r="L5" s="15">
        <f t="shared" si="0"/>
        <v>46266</v>
      </c>
      <c r="M5" s="15">
        <f t="shared" si="0"/>
        <v>46267</v>
      </c>
      <c r="N5" s="15">
        <f t="shared" si="0"/>
        <v>46268</v>
      </c>
      <c r="O5" s="15">
        <f t="shared" si="0"/>
        <v>46269</v>
      </c>
      <c r="P5" s="15">
        <f t="shared" si="0"/>
        <v>46272</v>
      </c>
      <c r="Q5" s="15">
        <f t="shared" si="0"/>
        <v>46273</v>
      </c>
      <c r="R5" s="15">
        <f t="shared" si="0"/>
        <v>46274</v>
      </c>
      <c r="S5" s="15">
        <f t="shared" si="0"/>
        <v>46275</v>
      </c>
      <c r="T5" s="15">
        <f t="shared" si="0"/>
        <v>46276</v>
      </c>
      <c r="U5" s="15">
        <f t="shared" si="0"/>
        <v>46279</v>
      </c>
      <c r="V5" s="15">
        <f t="shared" si="0"/>
        <v>46280</v>
      </c>
      <c r="W5" s="15">
        <f t="shared" si="0"/>
        <v>46281</v>
      </c>
      <c r="X5" s="15">
        <f t="shared" si="0"/>
        <v>46282</v>
      </c>
      <c r="Y5" s="15">
        <f t="shared" si="0"/>
        <v>46283</v>
      </c>
      <c r="Z5" s="15">
        <f t="shared" si="0"/>
        <v>46286</v>
      </c>
      <c r="AA5" s="15">
        <f t="shared" si="0"/>
        <v>46287</v>
      </c>
      <c r="AB5" s="15">
        <f t="shared" si="0"/>
        <v>46288</v>
      </c>
      <c r="AC5" s="15">
        <f t="shared" si="0"/>
        <v>46289</v>
      </c>
      <c r="AD5" s="15">
        <f t="shared" si="0"/>
        <v>46290</v>
      </c>
      <c r="AE5" s="15">
        <f t="shared" si="0"/>
        <v>46293</v>
      </c>
      <c r="AF5" s="15">
        <f t="shared" si="0"/>
        <v>46294</v>
      </c>
      <c r="AG5" s="15">
        <f t="shared" si="0"/>
        <v>46295</v>
      </c>
      <c r="AH5" s="15">
        <f t="shared" si="0"/>
        <v>46296</v>
      </c>
      <c r="AI5" s="15">
        <f t="shared" si="0"/>
        <v>46297</v>
      </c>
      <c r="AJ5" s="15">
        <f t="shared" si="0"/>
        <v>46300</v>
      </c>
      <c r="AK5" s="15">
        <f t="shared" si="0"/>
        <v>46301</v>
      </c>
      <c r="AL5" s="15">
        <f t="shared" si="0"/>
        <v>46302</v>
      </c>
      <c r="AM5" s="15">
        <f t="shared" si="0"/>
        <v>46303</v>
      </c>
      <c r="AN5" s="15">
        <f t="shared" si="0"/>
        <v>46304</v>
      </c>
      <c r="AO5" s="15">
        <f t="shared" si="0"/>
        <v>46307</v>
      </c>
      <c r="AP5" s="15">
        <f t="shared" si="0"/>
        <v>46308</v>
      </c>
      <c r="AQ5" s="15">
        <f t="shared" ref="AQ5:BZ5" si="1">WORKDAY(AP5,1)</f>
        <v>46309</v>
      </c>
      <c r="AR5" s="15">
        <f t="shared" si="1"/>
        <v>46310</v>
      </c>
      <c r="AS5" s="15">
        <f t="shared" si="1"/>
        <v>46311</v>
      </c>
      <c r="AT5" s="15">
        <f t="shared" si="1"/>
        <v>46314</v>
      </c>
      <c r="AU5" s="15">
        <f t="shared" si="1"/>
        <v>46315</v>
      </c>
      <c r="AV5" s="15">
        <f t="shared" si="1"/>
        <v>46316</v>
      </c>
      <c r="AW5" s="15">
        <f t="shared" si="1"/>
        <v>46317</v>
      </c>
      <c r="AX5" s="15">
        <f t="shared" si="1"/>
        <v>46318</v>
      </c>
      <c r="AY5" s="15">
        <f t="shared" si="1"/>
        <v>46321</v>
      </c>
      <c r="AZ5" s="15">
        <f t="shared" si="1"/>
        <v>46322</v>
      </c>
      <c r="BA5" s="15">
        <f t="shared" si="1"/>
        <v>46323</v>
      </c>
      <c r="BB5" s="15">
        <f t="shared" si="1"/>
        <v>46324</v>
      </c>
      <c r="BC5" s="15">
        <f t="shared" si="1"/>
        <v>46325</v>
      </c>
      <c r="BD5" s="15">
        <f t="shared" si="1"/>
        <v>46328</v>
      </c>
      <c r="BE5" s="15">
        <f t="shared" si="1"/>
        <v>46329</v>
      </c>
      <c r="BF5" s="15">
        <f t="shared" si="1"/>
        <v>46330</v>
      </c>
      <c r="BG5" s="15">
        <f t="shared" si="1"/>
        <v>46331</v>
      </c>
      <c r="BH5" s="15">
        <f t="shared" si="1"/>
        <v>46332</v>
      </c>
      <c r="BI5" s="15">
        <f t="shared" si="1"/>
        <v>46335</v>
      </c>
      <c r="BJ5" s="15">
        <f t="shared" si="1"/>
        <v>46336</v>
      </c>
      <c r="BK5" s="15">
        <f t="shared" si="1"/>
        <v>46337</v>
      </c>
      <c r="BL5" s="15">
        <f t="shared" si="1"/>
        <v>46338</v>
      </c>
      <c r="BM5" s="15">
        <f t="shared" si="1"/>
        <v>46339</v>
      </c>
      <c r="BN5" s="15">
        <f t="shared" si="1"/>
        <v>46342</v>
      </c>
      <c r="BO5" s="15">
        <f t="shared" si="1"/>
        <v>46343</v>
      </c>
      <c r="BP5" s="15">
        <f t="shared" si="1"/>
        <v>46344</v>
      </c>
      <c r="BQ5" s="15">
        <f t="shared" si="1"/>
        <v>46345</v>
      </c>
      <c r="BR5" s="15">
        <f t="shared" si="1"/>
        <v>46346</v>
      </c>
      <c r="BS5" s="15">
        <f t="shared" si="1"/>
        <v>46349</v>
      </c>
      <c r="BT5" s="15">
        <f t="shared" si="1"/>
        <v>46350</v>
      </c>
      <c r="BU5" s="15">
        <f t="shared" si="1"/>
        <v>46351</v>
      </c>
      <c r="BV5" s="15">
        <f t="shared" si="1"/>
        <v>46352</v>
      </c>
      <c r="BW5" s="15">
        <f t="shared" si="1"/>
        <v>46353</v>
      </c>
      <c r="BX5" s="15">
        <f t="shared" si="1"/>
        <v>46356</v>
      </c>
      <c r="BY5" s="15">
        <f t="shared" si="1"/>
        <v>46357</v>
      </c>
      <c r="BZ5" s="15">
        <f t="shared" si="1"/>
        <v>46358</v>
      </c>
    </row>
    <row r="6" spans="1:78" ht="37.5" customHeight="1" x14ac:dyDescent="0.35">
      <c r="A6" s="14" t="s">
        <v>24</v>
      </c>
      <c r="B6" s="14" t="s">
        <v>25</v>
      </c>
      <c r="C6" s="14" t="s">
        <v>26</v>
      </c>
      <c r="D6" s="14" t="s">
        <v>27</v>
      </c>
      <c r="E6" s="14" t="s">
        <v>28</v>
      </c>
      <c r="F6" s="14" t="s">
        <v>29</v>
      </c>
      <c r="G6" s="14" t="s">
        <v>30</v>
      </c>
      <c r="H6" s="14" t="s">
        <v>31</v>
      </c>
      <c r="I6" s="14" t="s">
        <v>32</v>
      </c>
      <c r="J6" s="16">
        <f t="shared" ref="J6:AO6" si="2">J5</f>
        <v>46262</v>
      </c>
      <c r="K6" s="16">
        <f t="shared" si="2"/>
        <v>46265</v>
      </c>
      <c r="L6" s="16">
        <f t="shared" si="2"/>
        <v>46266</v>
      </c>
      <c r="M6" s="16">
        <f t="shared" si="2"/>
        <v>46267</v>
      </c>
      <c r="N6" s="16">
        <f t="shared" si="2"/>
        <v>46268</v>
      </c>
      <c r="O6" s="16">
        <f t="shared" si="2"/>
        <v>46269</v>
      </c>
      <c r="P6" s="16">
        <f t="shared" si="2"/>
        <v>46272</v>
      </c>
      <c r="Q6" s="16">
        <f t="shared" si="2"/>
        <v>46273</v>
      </c>
      <c r="R6" s="16">
        <f t="shared" si="2"/>
        <v>46274</v>
      </c>
      <c r="S6" s="16">
        <f t="shared" si="2"/>
        <v>46275</v>
      </c>
      <c r="T6" s="16">
        <f t="shared" si="2"/>
        <v>46276</v>
      </c>
      <c r="U6" s="16">
        <f t="shared" si="2"/>
        <v>46279</v>
      </c>
      <c r="V6" s="16">
        <f t="shared" si="2"/>
        <v>46280</v>
      </c>
      <c r="W6" s="16">
        <f t="shared" si="2"/>
        <v>46281</v>
      </c>
      <c r="X6" s="16">
        <f t="shared" si="2"/>
        <v>46282</v>
      </c>
      <c r="Y6" s="16">
        <f t="shared" si="2"/>
        <v>46283</v>
      </c>
      <c r="Z6" s="16">
        <f t="shared" si="2"/>
        <v>46286</v>
      </c>
      <c r="AA6" s="16">
        <f t="shared" si="2"/>
        <v>46287</v>
      </c>
      <c r="AB6" s="16">
        <f t="shared" si="2"/>
        <v>46288</v>
      </c>
      <c r="AC6" s="16">
        <f t="shared" si="2"/>
        <v>46289</v>
      </c>
      <c r="AD6" s="16">
        <f t="shared" si="2"/>
        <v>46290</v>
      </c>
      <c r="AE6" s="16">
        <f t="shared" si="2"/>
        <v>46293</v>
      </c>
      <c r="AF6" s="16">
        <f t="shared" si="2"/>
        <v>46294</v>
      </c>
      <c r="AG6" s="16">
        <f t="shared" si="2"/>
        <v>46295</v>
      </c>
      <c r="AH6" s="16">
        <f t="shared" si="2"/>
        <v>46296</v>
      </c>
      <c r="AI6" s="16">
        <f t="shared" si="2"/>
        <v>46297</v>
      </c>
      <c r="AJ6" s="16">
        <f t="shared" si="2"/>
        <v>46300</v>
      </c>
      <c r="AK6" s="16">
        <f t="shared" si="2"/>
        <v>46301</v>
      </c>
      <c r="AL6" s="16">
        <f t="shared" si="2"/>
        <v>46302</v>
      </c>
      <c r="AM6" s="16">
        <f t="shared" si="2"/>
        <v>46303</v>
      </c>
      <c r="AN6" s="16">
        <f t="shared" si="2"/>
        <v>46304</v>
      </c>
      <c r="AO6" s="16">
        <f t="shared" si="2"/>
        <v>46307</v>
      </c>
      <c r="AP6" s="16">
        <f t="shared" ref="AP6:BU6" si="3">AP5</f>
        <v>46308</v>
      </c>
      <c r="AQ6" s="16">
        <f t="shared" si="3"/>
        <v>46309</v>
      </c>
      <c r="AR6" s="16">
        <f t="shared" si="3"/>
        <v>46310</v>
      </c>
      <c r="AS6" s="16">
        <f t="shared" si="3"/>
        <v>46311</v>
      </c>
      <c r="AT6" s="16">
        <f t="shared" si="3"/>
        <v>46314</v>
      </c>
      <c r="AU6" s="16">
        <f t="shared" si="3"/>
        <v>46315</v>
      </c>
      <c r="AV6" s="16">
        <f t="shared" si="3"/>
        <v>46316</v>
      </c>
      <c r="AW6" s="16">
        <f t="shared" si="3"/>
        <v>46317</v>
      </c>
      <c r="AX6" s="16">
        <f t="shared" si="3"/>
        <v>46318</v>
      </c>
      <c r="AY6" s="16">
        <f t="shared" si="3"/>
        <v>46321</v>
      </c>
      <c r="AZ6" s="16">
        <f t="shared" si="3"/>
        <v>46322</v>
      </c>
      <c r="BA6" s="16">
        <f t="shared" si="3"/>
        <v>46323</v>
      </c>
      <c r="BB6" s="16">
        <f t="shared" si="3"/>
        <v>46324</v>
      </c>
      <c r="BC6" s="16">
        <f t="shared" si="3"/>
        <v>46325</v>
      </c>
      <c r="BD6" s="16">
        <f t="shared" si="3"/>
        <v>46328</v>
      </c>
      <c r="BE6" s="16">
        <f t="shared" si="3"/>
        <v>46329</v>
      </c>
      <c r="BF6" s="16">
        <f t="shared" si="3"/>
        <v>46330</v>
      </c>
      <c r="BG6" s="16">
        <f t="shared" si="3"/>
        <v>46331</v>
      </c>
      <c r="BH6" s="16">
        <f t="shared" si="3"/>
        <v>46332</v>
      </c>
      <c r="BI6" s="16">
        <f t="shared" si="3"/>
        <v>46335</v>
      </c>
      <c r="BJ6" s="16">
        <f t="shared" si="3"/>
        <v>46336</v>
      </c>
      <c r="BK6" s="16">
        <f t="shared" si="3"/>
        <v>46337</v>
      </c>
      <c r="BL6" s="16">
        <f t="shared" si="3"/>
        <v>46338</v>
      </c>
      <c r="BM6" s="16">
        <f t="shared" si="3"/>
        <v>46339</v>
      </c>
      <c r="BN6" s="16">
        <f t="shared" si="3"/>
        <v>46342</v>
      </c>
      <c r="BO6" s="16">
        <f t="shared" si="3"/>
        <v>46343</v>
      </c>
      <c r="BP6" s="16">
        <f t="shared" si="3"/>
        <v>46344</v>
      </c>
      <c r="BQ6" s="16">
        <f t="shared" si="3"/>
        <v>46345</v>
      </c>
      <c r="BR6" s="16">
        <f t="shared" si="3"/>
        <v>46346</v>
      </c>
      <c r="BS6" s="16">
        <f t="shared" si="3"/>
        <v>46349</v>
      </c>
      <c r="BT6" s="16">
        <f t="shared" si="3"/>
        <v>46350</v>
      </c>
      <c r="BU6" s="16">
        <f t="shared" si="3"/>
        <v>46351</v>
      </c>
      <c r="BV6" s="16">
        <f t="shared" ref="BV6:DA6" si="4">BV5</f>
        <v>46352</v>
      </c>
      <c r="BW6" s="16">
        <f t="shared" si="4"/>
        <v>46353</v>
      </c>
      <c r="BX6" s="16">
        <f t="shared" si="4"/>
        <v>46356</v>
      </c>
      <c r="BY6" s="16">
        <f t="shared" si="4"/>
        <v>46357</v>
      </c>
      <c r="BZ6" s="16">
        <f t="shared" si="4"/>
        <v>46358</v>
      </c>
    </row>
    <row r="7" spans="1:78" ht="16.5" customHeight="1" x14ac:dyDescent="0.35">
      <c r="A7" s="5" t="s">
        <v>33</v>
      </c>
      <c r="B7" s="4" t="s">
        <v>34</v>
      </c>
      <c r="C7" s="3" t="str">
        <f>IF(INT((NETWORKDAYS($B$2,E7)-1)/5)=INT((NETWORKDAYS($B$2,F7)-1)/5),"Week "&amp;(INT((NETWORKDAYS($B$2,E7)-1)/5)+1),"Weeks "&amp;(INT((NETWORKDAYS($B$2,E7)-1)/5)+1)&amp;"-"&amp;(INT((NETWORKDAYS($B$2,F7)-1)/5)+1))</f>
        <v>Weeks 1-2</v>
      </c>
      <c r="D7" s="18" t="s">
        <v>2</v>
      </c>
      <c r="E7" s="19">
        <v>46262</v>
      </c>
      <c r="F7" s="19">
        <v>46275</v>
      </c>
      <c r="G7" s="17">
        <f>NETWORKDAYS(E7,F7)</f>
        <v>10</v>
      </c>
      <c r="H7" s="2" t="s">
        <v>35</v>
      </c>
      <c r="I7" s="4"/>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row>
    <row r="8" spans="1:78" ht="16.5" customHeight="1" x14ac:dyDescent="0.35">
      <c r="A8" s="5"/>
      <c r="B8" s="5"/>
      <c r="C8" s="5"/>
      <c r="D8" s="21" t="s">
        <v>4</v>
      </c>
      <c r="E8" s="22">
        <v>46262</v>
      </c>
      <c r="F8" s="22">
        <v>46275</v>
      </c>
      <c r="G8" s="23">
        <f>IF(AND(E8&lt;&gt;"",F8&lt;&gt;""),NETWORKDAYS(E8,F8),"")</f>
        <v>10</v>
      </c>
      <c r="H8" s="2"/>
      <c r="I8" s="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row>
    <row r="9" spans="1:78" ht="16.5" customHeight="1" x14ac:dyDescent="0.35">
      <c r="A9" s="5" t="s">
        <v>33</v>
      </c>
      <c r="B9" s="4" t="s">
        <v>36</v>
      </c>
      <c r="C9" s="3" t="str">
        <f>IF(INT((NETWORKDAYS($B$2,E9)-1)/5)=INT((NETWORKDAYS($B$2,F9)-1)/5),"Week "&amp;(INT((NETWORKDAYS($B$2,E9)-1)/5)+1),"Weeks "&amp;(INT((NETWORKDAYS($B$2,E9)-1)/5)+1)&amp;"-"&amp;(INT((NETWORKDAYS($B$2,F9)-1)/5)+1))</f>
        <v>Weeks 1-3</v>
      </c>
      <c r="D9" s="18" t="s">
        <v>2</v>
      </c>
      <c r="E9" s="19">
        <v>46262</v>
      </c>
      <c r="F9" s="19">
        <v>46281</v>
      </c>
      <c r="G9" s="17">
        <f>NETWORKDAYS(E9,F9)</f>
        <v>14</v>
      </c>
      <c r="H9" s="2" t="s">
        <v>37</v>
      </c>
      <c r="I9" s="4"/>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row>
    <row r="10" spans="1:78" ht="16.5" customHeight="1" x14ac:dyDescent="0.35">
      <c r="A10" s="5"/>
      <c r="B10" s="5"/>
      <c r="C10" s="5"/>
      <c r="D10" s="21" t="s">
        <v>4</v>
      </c>
      <c r="E10" s="22">
        <v>46266</v>
      </c>
      <c r="F10" s="22"/>
      <c r="G10" s="23" t="str">
        <f>IF(AND(E10&lt;&gt;"",F10&lt;&gt;""),NETWORKDAYS(E10,F10),"")</f>
        <v/>
      </c>
      <c r="H10" s="2"/>
      <c r="I10" s="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row>
    <row r="11" spans="1:78" ht="16.5" customHeight="1" x14ac:dyDescent="0.35">
      <c r="A11" s="5" t="s">
        <v>33</v>
      </c>
      <c r="B11" s="4" t="s">
        <v>38</v>
      </c>
      <c r="C11" s="3" t="str">
        <f>IF(INT((NETWORKDAYS($B$2,E11)-1)/5)=INT((NETWORKDAYS($B$2,F11)-1)/5),"Week "&amp;(INT((NETWORKDAYS($B$2,E11)-1)/5)+1),"Weeks "&amp;(INT((NETWORKDAYS($B$2,E11)-1)/5)+1)&amp;"-"&amp;(INT((NETWORKDAYS($B$2,F11)-1)/5)+1))</f>
        <v>Weeks 1-5</v>
      </c>
      <c r="D11" s="18" t="s">
        <v>2</v>
      </c>
      <c r="E11" s="19">
        <v>46266</v>
      </c>
      <c r="F11" s="19">
        <v>46290</v>
      </c>
      <c r="G11" s="17">
        <f>NETWORKDAYS(E11,F11)</f>
        <v>19</v>
      </c>
      <c r="H11" s="2" t="s">
        <v>37</v>
      </c>
      <c r="I11" s="4" t="s">
        <v>39</v>
      </c>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row>
    <row r="12" spans="1:78" ht="16.5" customHeight="1" x14ac:dyDescent="0.35">
      <c r="A12" s="5"/>
      <c r="B12" s="5"/>
      <c r="C12" s="5"/>
      <c r="D12" s="21" t="s">
        <v>4</v>
      </c>
      <c r="E12" s="22"/>
      <c r="F12" s="22"/>
      <c r="G12" s="23" t="str">
        <f>IF(AND(E12&lt;&gt;"",F12&lt;&gt;""),NETWORKDAYS(E12,F12),"")</f>
        <v/>
      </c>
      <c r="H12" s="2"/>
      <c r="I12" s="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row>
    <row r="13" spans="1:78" ht="16.5" customHeight="1" x14ac:dyDescent="0.35">
      <c r="A13" s="5" t="s">
        <v>33</v>
      </c>
      <c r="B13" s="4" t="s">
        <v>40</v>
      </c>
      <c r="C13" s="3" t="str">
        <f>IF(INT((NETWORKDAYS($B$2,E13)-1)/5)=INT((NETWORKDAYS($B$2,F13)-1)/5),"Week "&amp;(INT((NETWORKDAYS($B$2,E13)-1)/5)+1),"Weeks "&amp;(INT((NETWORKDAYS($B$2,E13)-1)/5)+1)&amp;"-"&amp;(INT((NETWORKDAYS($B$2,F13)-1)/5)+1))</f>
        <v>Weeks 1-3</v>
      </c>
      <c r="D13" s="18" t="s">
        <v>2</v>
      </c>
      <c r="E13" s="19">
        <v>46265</v>
      </c>
      <c r="F13" s="19">
        <v>46276</v>
      </c>
      <c r="G13" s="17">
        <f>NETWORKDAYS(E13,F13)</f>
        <v>10</v>
      </c>
      <c r="H13" s="2" t="s">
        <v>35</v>
      </c>
      <c r="I13" s="4"/>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row>
    <row r="14" spans="1:78" ht="16.5" customHeight="1" x14ac:dyDescent="0.35">
      <c r="A14" s="5"/>
      <c r="B14" s="5"/>
      <c r="C14" s="5"/>
      <c r="D14" s="21" t="s">
        <v>4</v>
      </c>
      <c r="E14" s="22">
        <v>46266</v>
      </c>
      <c r="F14" s="22">
        <v>46304</v>
      </c>
      <c r="G14" s="23">
        <f>IF(AND(E14&lt;&gt;"",F14&lt;&gt;""),NETWORKDAYS(E14,F14),"")</f>
        <v>29</v>
      </c>
      <c r="H14" s="2"/>
      <c r="I14" s="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row>
    <row r="15" spans="1:78" ht="16.5" customHeight="1" x14ac:dyDescent="0.35">
      <c r="A15" s="5" t="s">
        <v>33</v>
      </c>
      <c r="B15" s="4" t="s">
        <v>41</v>
      </c>
      <c r="C15" s="3" t="str">
        <f>IF(INT((NETWORKDAYS($B$2,E15)-1)/5)=INT((NETWORKDAYS($B$2,F15)-1)/5),"Week "&amp;(INT((NETWORKDAYS($B$2,E15)-1)/5)+1),"Weeks "&amp;(INT((NETWORKDAYS($B$2,E15)-1)/5)+1)&amp;"-"&amp;(INT((NETWORKDAYS($B$2,F15)-1)/5)+1))</f>
        <v>Weeks 3-5</v>
      </c>
      <c r="D15" s="18" t="s">
        <v>2</v>
      </c>
      <c r="E15" s="19">
        <v>46279</v>
      </c>
      <c r="F15" s="19">
        <v>46290</v>
      </c>
      <c r="G15" s="17">
        <f>NETWORKDAYS(E15,F15)</f>
        <v>10</v>
      </c>
      <c r="H15" s="2" t="s">
        <v>37</v>
      </c>
      <c r="I15" s="4" t="s">
        <v>42</v>
      </c>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row>
    <row r="16" spans="1:78" ht="16.5" customHeight="1" x14ac:dyDescent="0.35">
      <c r="A16" s="5"/>
      <c r="B16" s="5"/>
      <c r="C16" s="5"/>
      <c r="D16" s="21" t="s">
        <v>4</v>
      </c>
      <c r="E16" s="22"/>
      <c r="F16" s="22"/>
      <c r="G16" s="23" t="str">
        <f>IF(AND(E16&lt;&gt;"",F16&lt;&gt;""),NETWORKDAYS(E16,F16),"")</f>
        <v/>
      </c>
      <c r="H16" s="2"/>
      <c r="I16" s="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row>
    <row r="17" spans="1:78" ht="16.5" customHeight="1" x14ac:dyDescent="0.35">
      <c r="A17" s="5" t="s">
        <v>33</v>
      </c>
      <c r="B17" s="4" t="s">
        <v>43</v>
      </c>
      <c r="C17" s="3" t="str">
        <f>IF(INT((NETWORKDAYS($B$2,E17)-1)/5)=INT((NETWORKDAYS($B$2,F17)-1)/5),"Week "&amp;(INT((NETWORKDAYS($B$2,E17)-1)/5)+1),"Weeks "&amp;(INT((NETWORKDAYS($B$2,E17)-1)/5)+1)&amp;"-"&amp;(INT((NETWORKDAYS($B$2,F17)-1)/5)+1))</f>
        <v>Weeks 3-5</v>
      </c>
      <c r="D17" s="18" t="s">
        <v>2</v>
      </c>
      <c r="E17" s="19">
        <v>46279</v>
      </c>
      <c r="F17" s="19">
        <v>46293</v>
      </c>
      <c r="G17" s="17">
        <f>NETWORKDAYS(E17,F17)</f>
        <v>11</v>
      </c>
      <c r="H17" s="2" t="s">
        <v>37</v>
      </c>
      <c r="I17" s="4" t="s">
        <v>44</v>
      </c>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row>
    <row r="18" spans="1:78" ht="16.5" customHeight="1" x14ac:dyDescent="0.35">
      <c r="A18" s="5"/>
      <c r="B18" s="5"/>
      <c r="C18" s="5"/>
      <c r="D18" s="21" t="s">
        <v>4</v>
      </c>
      <c r="E18" s="22">
        <v>46279</v>
      </c>
      <c r="F18" s="22"/>
      <c r="G18" s="23" t="str">
        <f>IF(AND(E18&lt;&gt;"",F18&lt;&gt;""),NETWORKDAYS(E18,F18),"")</f>
        <v/>
      </c>
      <c r="H18" s="2"/>
      <c r="I18" s="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row>
    <row r="19" spans="1:78" ht="16.5" customHeight="1" x14ac:dyDescent="0.35">
      <c r="A19" s="5" t="s">
        <v>45</v>
      </c>
      <c r="B19" s="4" t="s">
        <v>46</v>
      </c>
      <c r="C19" s="3" t="str">
        <f>IF(INT((NETWORKDAYS($B$2,E19)-1)/5)=INT((NETWORKDAYS($B$2,F19)-1)/5),"Week "&amp;(INT((NETWORKDAYS($B$2,E19)-1)/5)+1),"Weeks "&amp;(INT((NETWORKDAYS($B$2,E19)-1)/5)+1)&amp;"-"&amp;(INT((NETWORKDAYS($B$2,F19)-1)/5)+1))</f>
        <v>Weeks 5-7</v>
      </c>
      <c r="D19" s="18" t="s">
        <v>2</v>
      </c>
      <c r="E19" s="19">
        <v>46294</v>
      </c>
      <c r="F19" s="19">
        <v>46304</v>
      </c>
      <c r="G19" s="17">
        <f>NETWORKDAYS(E19,F19)</f>
        <v>9</v>
      </c>
      <c r="H19" s="2" t="s">
        <v>37</v>
      </c>
      <c r="I19" s="4" t="s">
        <v>112</v>
      </c>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row>
    <row r="20" spans="1:78" ht="16.5" customHeight="1" x14ac:dyDescent="0.35">
      <c r="A20" s="5"/>
      <c r="B20" s="5"/>
      <c r="C20" s="5"/>
      <c r="D20" s="21" t="s">
        <v>4</v>
      </c>
      <c r="E20" s="22">
        <v>46296</v>
      </c>
      <c r="F20" s="22"/>
      <c r="G20" s="23" t="str">
        <f>IF(AND(E20&lt;&gt;"",F20&lt;&gt;""),NETWORKDAYS(E20,F20),"")</f>
        <v/>
      </c>
      <c r="H20" s="2"/>
      <c r="I20" s="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row>
    <row r="21" spans="1:78" ht="16.5" customHeight="1" x14ac:dyDescent="0.35">
      <c r="A21" s="5" t="s">
        <v>45</v>
      </c>
      <c r="B21" s="1" t="s">
        <v>47</v>
      </c>
      <c r="C21" s="3" t="str">
        <f>IF(INT((NETWORKDAYS($B$2,E21)-1)/5)=INT((NETWORKDAYS($B$2,F21)-1)/5),"Week "&amp;(INT((NETWORKDAYS($B$2,E21)-1)/5)+1),"Weeks "&amp;(INT((NETWORKDAYS($B$2,E21)-1)/5)+1)&amp;"-"&amp;(INT((NETWORKDAYS($B$2,F21)-1)/5)+1))</f>
        <v>Weeks 6-8</v>
      </c>
      <c r="D21" s="18" t="s">
        <v>2</v>
      </c>
      <c r="E21" s="19">
        <v>46302</v>
      </c>
      <c r="F21" s="19">
        <v>46311</v>
      </c>
      <c r="G21" s="17">
        <f>NETWORKDAYS(E21,F21)</f>
        <v>8</v>
      </c>
      <c r="H21" s="2" t="s">
        <v>37</v>
      </c>
      <c r="I21" s="1" t="s">
        <v>48</v>
      </c>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row>
    <row r="22" spans="1:78" ht="16.5" customHeight="1" x14ac:dyDescent="0.35">
      <c r="A22" s="5"/>
      <c r="B22" s="5"/>
      <c r="C22" s="5"/>
      <c r="D22" s="21" t="s">
        <v>4</v>
      </c>
      <c r="E22" s="22">
        <v>46299</v>
      </c>
      <c r="F22" s="22"/>
      <c r="G22" s="23" t="str">
        <f>IF(AND(E22&lt;&gt;"",F22&lt;&gt;""),NETWORKDAYS(E22,F22),"")</f>
        <v/>
      </c>
      <c r="H22" s="2"/>
      <c r="I22" s="1"/>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row>
    <row r="23" spans="1:78" ht="16.5" customHeight="1" x14ac:dyDescent="0.35">
      <c r="A23" s="5" t="s">
        <v>45</v>
      </c>
      <c r="B23" s="4" t="s">
        <v>49</v>
      </c>
      <c r="C23" s="3" t="str">
        <f>IF(INT((NETWORKDAYS($B$2,E23)-1)/5)=INT((NETWORKDAYS($B$2,F23)-1)/5),"Week "&amp;(INT((NETWORKDAYS($B$2,E23)-1)/5)+1),"Weeks "&amp;(INT((NETWORKDAYS($B$2,E23)-1)/5)+1)&amp;"-"&amp;(INT((NETWORKDAYS($B$2,F23)-1)/5)+1))</f>
        <v>Weeks 7-8</v>
      </c>
      <c r="D23" s="18" t="s">
        <v>2</v>
      </c>
      <c r="E23" s="19">
        <v>46307</v>
      </c>
      <c r="F23" s="19">
        <v>46311</v>
      </c>
      <c r="G23" s="17">
        <f>NETWORKDAYS(E23,F23)</f>
        <v>5</v>
      </c>
      <c r="H23" s="2" t="s">
        <v>37</v>
      </c>
      <c r="I23" s="4"/>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row>
    <row r="24" spans="1:78" ht="16.5" customHeight="1" x14ac:dyDescent="0.35">
      <c r="A24" s="5"/>
      <c r="B24" s="5"/>
      <c r="C24" s="5"/>
      <c r="D24" s="21" t="s">
        <v>4</v>
      </c>
      <c r="E24" s="22">
        <v>46304</v>
      </c>
      <c r="F24" s="22"/>
      <c r="G24" s="23" t="str">
        <f>IF(AND(E24&lt;&gt;"",F24&lt;&gt;""),NETWORKDAYS(E24,F24),"")</f>
        <v/>
      </c>
      <c r="H24" s="2"/>
      <c r="I24" s="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row>
    <row r="25" spans="1:78" ht="16.5" customHeight="1" x14ac:dyDescent="0.35">
      <c r="A25" s="5" t="s">
        <v>45</v>
      </c>
      <c r="B25" s="4" t="s">
        <v>50</v>
      </c>
      <c r="C25" s="3" t="str">
        <f>IF(INT((NETWORKDAYS($B$2,E25)-1)/5)=INT((NETWORKDAYS($B$2,F25)-1)/5),"Week "&amp;(INT((NETWORKDAYS($B$2,E25)-1)/5)+1),"Weeks "&amp;(INT((NETWORKDAYS($B$2,E25)-1)/5)+1)&amp;"-"&amp;(INT((NETWORKDAYS($B$2,F25)-1)/5)+1))</f>
        <v>Week 7</v>
      </c>
      <c r="D25" s="18" t="s">
        <v>2</v>
      </c>
      <c r="E25" s="19">
        <v>46307</v>
      </c>
      <c r="F25" s="19">
        <v>46309</v>
      </c>
      <c r="G25" s="17">
        <f>NETWORKDAYS(E25,F25)</f>
        <v>3</v>
      </c>
      <c r="H25" s="2"/>
      <c r="I25" s="4" t="s">
        <v>51</v>
      </c>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row>
    <row r="26" spans="1:78" ht="16.5" customHeight="1" x14ac:dyDescent="0.35">
      <c r="A26" s="5"/>
      <c r="B26" s="5"/>
      <c r="C26" s="5"/>
      <c r="D26" s="21" t="s">
        <v>4</v>
      </c>
      <c r="E26" s="22"/>
      <c r="F26" s="22"/>
      <c r="G26" s="23" t="str">
        <f>IF(AND(E26&lt;&gt;"",F26&lt;&gt;""),NETWORKDAYS(E26,F26),"")</f>
        <v/>
      </c>
      <c r="H26" s="2"/>
      <c r="I26" s="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row>
    <row r="27" spans="1:78" ht="16.5" customHeight="1" x14ac:dyDescent="0.35">
      <c r="A27" s="5" t="s">
        <v>45</v>
      </c>
      <c r="B27" s="4" t="s">
        <v>52</v>
      </c>
      <c r="C27" s="3" t="str">
        <f>IF(INT((NETWORKDAYS($B$2,E27)-1)/5)=INT((NETWORKDAYS($B$2,F27)-1)/5),"Week "&amp;(INT((NETWORKDAYS($B$2,E27)-1)/5)+1),"Weeks "&amp;(INT((NETWORKDAYS($B$2,E27)-1)/5)+1)&amp;"-"&amp;(INT((NETWORKDAYS($B$2,F27)-1)/5)+1))</f>
        <v>Weeks 7-8</v>
      </c>
      <c r="D27" s="18" t="s">
        <v>2</v>
      </c>
      <c r="E27" s="19">
        <v>46310</v>
      </c>
      <c r="F27" s="19">
        <v>46311</v>
      </c>
      <c r="G27" s="17">
        <f>NETWORKDAYS(E27,F27)</f>
        <v>2</v>
      </c>
      <c r="H27" s="2"/>
      <c r="I27" s="4" t="s">
        <v>53</v>
      </c>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row>
    <row r="28" spans="1:78" ht="16.5" customHeight="1" x14ac:dyDescent="0.35">
      <c r="A28" s="5"/>
      <c r="B28" s="5"/>
      <c r="C28" s="5"/>
      <c r="D28" s="21" t="s">
        <v>4</v>
      </c>
      <c r="E28" s="22"/>
      <c r="F28" s="22"/>
      <c r="G28" s="23" t="str">
        <f>IF(AND(E28&lt;&gt;"",F28&lt;&gt;""),NETWORKDAYS(E28,F28),"")</f>
        <v/>
      </c>
      <c r="H28" s="2"/>
      <c r="I28" s="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row>
    <row r="29" spans="1:78" ht="16.5" customHeight="1" x14ac:dyDescent="0.35">
      <c r="A29" s="5" t="s">
        <v>45</v>
      </c>
      <c r="B29" s="4" t="s">
        <v>111</v>
      </c>
      <c r="C29" s="3" t="str">
        <f>IF(INT((NETWORKDAYS($B$2,E29)-1)/5)=INT((NETWORKDAYS($B$2,F29)-1)/5),"Week "&amp;(INT((NETWORKDAYS($B$2,E29)-1)/5)+1),"Weeks "&amp;(INT((NETWORKDAYS($B$2,E29)-1)/5)+1)&amp;"-"&amp;(INT((NETWORKDAYS($B$2,F29)-1)/5)+1))</f>
        <v>Weeks 7-8</v>
      </c>
      <c r="D29" s="18" t="s">
        <v>2</v>
      </c>
      <c r="E29" s="19">
        <v>46307</v>
      </c>
      <c r="F29" s="19">
        <v>46311</v>
      </c>
      <c r="G29" s="17">
        <f>NETWORKDAYS(E29,F29)</f>
        <v>5</v>
      </c>
      <c r="H29" s="2"/>
      <c r="I29" s="4" t="s">
        <v>54</v>
      </c>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row>
    <row r="30" spans="1:78" ht="16.5" customHeight="1" x14ac:dyDescent="0.35">
      <c r="A30" s="5"/>
      <c r="B30" s="5"/>
      <c r="C30" s="5"/>
      <c r="D30" s="21" t="s">
        <v>4</v>
      </c>
      <c r="E30" s="22"/>
      <c r="F30" s="22"/>
      <c r="G30" s="23" t="str">
        <f>IF(AND(E30&lt;&gt;"",F30&lt;&gt;""),NETWORKDAYS(E30,F30),"")</f>
        <v/>
      </c>
      <c r="H30" s="2"/>
      <c r="I30" s="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row>
    <row r="31" spans="1:78" ht="16.5" customHeight="1" x14ac:dyDescent="0.35">
      <c r="A31" s="5" t="s">
        <v>45</v>
      </c>
      <c r="B31" s="4" t="s">
        <v>55</v>
      </c>
      <c r="C31" s="3" t="str">
        <f>IF(INT((NETWORKDAYS($B$2,E31)-1)/5)=INT((NETWORKDAYS($B$2,F31)-1)/5),"Week "&amp;(INT((NETWORKDAYS($B$2,E31)-1)/5)+1),"Weeks "&amp;(INT((NETWORKDAYS($B$2,E31)-1)/5)+1)&amp;"-"&amp;(INT((NETWORKDAYS($B$2,F31)-1)/5)+1))</f>
        <v>Weeks 7-8</v>
      </c>
      <c r="D31" s="18" t="s">
        <v>2</v>
      </c>
      <c r="E31" s="19">
        <v>46309</v>
      </c>
      <c r="F31" s="19">
        <v>46314</v>
      </c>
      <c r="G31" s="17">
        <f>NETWORKDAYS(E31,F31)</f>
        <v>4</v>
      </c>
      <c r="H31" s="2"/>
      <c r="I31" s="4" t="s">
        <v>56</v>
      </c>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row>
    <row r="32" spans="1:78" ht="16.5" customHeight="1" x14ac:dyDescent="0.35">
      <c r="A32" s="5"/>
      <c r="B32" s="5"/>
      <c r="C32" s="5"/>
      <c r="D32" s="21" t="s">
        <v>4</v>
      </c>
      <c r="E32" s="22"/>
      <c r="F32" s="22"/>
      <c r="G32" s="23" t="str">
        <f>IF(AND(E32&lt;&gt;"",F32&lt;&gt;""),NETWORKDAYS(E32,F32),"")</f>
        <v/>
      </c>
      <c r="H32" s="2"/>
      <c r="I32" s="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row>
    <row r="33" spans="1:78" ht="16.5" customHeight="1" x14ac:dyDescent="0.35">
      <c r="A33" s="5" t="s">
        <v>45</v>
      </c>
      <c r="B33" s="4" t="s">
        <v>57</v>
      </c>
      <c r="C33" s="3" t="str">
        <f>IF(INT((NETWORKDAYS($B$2,E33)-1)/5)=INT((NETWORKDAYS($B$2,F33)-1)/5),"Week "&amp;(INT((NETWORKDAYS($B$2,E33)-1)/5)+1),"Weeks "&amp;(INT((NETWORKDAYS($B$2,E33)-1)/5)+1)&amp;"-"&amp;(INT((NETWORKDAYS($B$2,F33)-1)/5)+1))</f>
        <v>Weeks 7-8</v>
      </c>
      <c r="D33" s="18" t="s">
        <v>2</v>
      </c>
      <c r="E33" s="19">
        <v>46307</v>
      </c>
      <c r="F33" s="19">
        <v>46311</v>
      </c>
      <c r="G33" s="17">
        <f>NETWORKDAYS(E33,F33)</f>
        <v>5</v>
      </c>
      <c r="H33" s="2"/>
      <c r="I33" s="4"/>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row>
    <row r="34" spans="1:78" ht="16.5" customHeight="1" x14ac:dyDescent="0.35">
      <c r="A34" s="5"/>
      <c r="B34" s="5"/>
      <c r="C34" s="5"/>
      <c r="D34" s="21" t="s">
        <v>4</v>
      </c>
      <c r="E34" s="22"/>
      <c r="F34" s="22"/>
      <c r="G34" s="23" t="str">
        <f>IF(AND(E34&lt;&gt;"",F34&lt;&gt;""),NETWORKDAYS(E34,F34),"")</f>
        <v/>
      </c>
      <c r="H34" s="2"/>
      <c r="I34" s="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row>
    <row r="35" spans="1:78" ht="16.5" customHeight="1" x14ac:dyDescent="0.35">
      <c r="A35" s="5" t="s">
        <v>45</v>
      </c>
      <c r="B35" s="4" t="s">
        <v>58</v>
      </c>
      <c r="C35" s="3" t="str">
        <f>IF(INT((NETWORKDAYS($B$2,E35)-1)/5)=INT((NETWORKDAYS($B$2,F35)-1)/5),"Week "&amp;(INT((NETWORKDAYS($B$2,E35)-1)/5)+1),"Weeks "&amp;(INT((NETWORKDAYS($B$2,E35)-1)/5)+1)&amp;"-"&amp;(INT((NETWORKDAYS($B$2,F35)-1)/5)+1))</f>
        <v>Weeks 7-8</v>
      </c>
      <c r="D35" s="18" t="s">
        <v>2</v>
      </c>
      <c r="E35" s="19">
        <v>46307</v>
      </c>
      <c r="F35" s="19">
        <v>46311</v>
      </c>
      <c r="G35" s="17">
        <f>NETWORKDAYS(E35,F35)</f>
        <v>5</v>
      </c>
      <c r="H35" s="2"/>
      <c r="I35" s="4" t="s">
        <v>59</v>
      </c>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row>
    <row r="36" spans="1:78" ht="16.5" customHeight="1" x14ac:dyDescent="0.35">
      <c r="A36" s="5"/>
      <c r="B36" s="5"/>
      <c r="C36" s="5"/>
      <c r="D36" s="21" t="s">
        <v>4</v>
      </c>
      <c r="E36" s="22"/>
      <c r="F36" s="22"/>
      <c r="G36" s="23" t="str">
        <f>IF(AND(E36&lt;&gt;"",F36&lt;&gt;""),NETWORKDAYS(E36,F36),"")</f>
        <v/>
      </c>
      <c r="H36" s="2"/>
      <c r="I36" s="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row>
    <row r="37" spans="1:78" ht="16.5" customHeight="1" x14ac:dyDescent="0.35">
      <c r="A37" s="5" t="s">
        <v>45</v>
      </c>
      <c r="B37" s="4" t="s">
        <v>60</v>
      </c>
      <c r="C37" s="3" t="str">
        <f>IF(INT((NETWORKDAYS($B$2,E37)-1)/5)=INT((NETWORKDAYS($B$2,F37)-1)/5),"Week "&amp;(INT((NETWORKDAYS($B$2,E37)-1)/5)+1),"Weeks "&amp;(INT((NETWORKDAYS($B$2,E37)-1)/5)+1)&amp;"-"&amp;(INT((NETWORKDAYS($B$2,F37)-1)/5)+1))</f>
        <v>Weeks 6-8</v>
      </c>
      <c r="D37" s="18" t="s">
        <v>2</v>
      </c>
      <c r="E37" s="19">
        <v>46300</v>
      </c>
      <c r="F37" s="19">
        <v>46311</v>
      </c>
      <c r="G37" s="17">
        <f>NETWORKDAYS(E37,F37)</f>
        <v>10</v>
      </c>
      <c r="H37" s="2"/>
      <c r="I37" s="4" t="s">
        <v>61</v>
      </c>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row>
    <row r="38" spans="1:78" ht="16.5" customHeight="1" x14ac:dyDescent="0.35">
      <c r="A38" s="5"/>
      <c r="B38" s="5"/>
      <c r="C38" s="5"/>
      <c r="D38" s="21" t="s">
        <v>4</v>
      </c>
      <c r="E38" s="22"/>
      <c r="F38" s="22"/>
      <c r="G38" s="23" t="str">
        <f>IF(AND(E38&lt;&gt;"",F38&lt;&gt;""),NETWORKDAYS(E38,F38),"")</f>
        <v/>
      </c>
      <c r="H38" s="2"/>
      <c r="I38" s="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row>
    <row r="39" spans="1:78" ht="16.5" customHeight="1" x14ac:dyDescent="0.35">
      <c r="A39" s="5" t="s">
        <v>45</v>
      </c>
      <c r="B39" s="4" t="s">
        <v>62</v>
      </c>
      <c r="C39" s="3" t="str">
        <f>IF(INT((NETWORKDAYS($B$2,E39)-1)/5)=INT((NETWORKDAYS($B$2,F39)-1)/5),"Week "&amp;(INT((NETWORKDAYS($B$2,E39)-1)/5)+1),"Weeks "&amp;(INT((NETWORKDAYS($B$2,E39)-1)/5)+1)&amp;"-"&amp;(INT((NETWORKDAYS($B$2,F39)-1)/5)+1))</f>
        <v>Weeks 7-9</v>
      </c>
      <c r="D39" s="18" t="s">
        <v>2</v>
      </c>
      <c r="E39" s="19">
        <v>46307</v>
      </c>
      <c r="F39" s="19">
        <v>46318</v>
      </c>
      <c r="G39" s="17">
        <f>NETWORKDAYS(E39,F39)</f>
        <v>10</v>
      </c>
      <c r="H39" s="2"/>
      <c r="I39" s="4"/>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row>
    <row r="40" spans="1:78" ht="16.5" customHeight="1" x14ac:dyDescent="0.35">
      <c r="A40" s="5"/>
      <c r="B40" s="5"/>
      <c r="C40" s="5"/>
      <c r="D40" s="21" t="s">
        <v>4</v>
      </c>
      <c r="E40" s="22"/>
      <c r="F40" s="22"/>
      <c r="G40" s="23" t="str">
        <f>IF(AND(E40&lt;&gt;"",F40&lt;&gt;""),NETWORKDAYS(E40,F40),"")</f>
        <v/>
      </c>
      <c r="H40" s="2"/>
      <c r="I40" s="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row>
    <row r="41" spans="1:78" ht="16.5" customHeight="1" x14ac:dyDescent="0.35">
      <c r="A41" s="5" t="s">
        <v>45</v>
      </c>
      <c r="B41" s="4" t="s">
        <v>63</v>
      </c>
      <c r="C41" s="3" t="str">
        <f>IF(INT((NETWORKDAYS($B$2,E41)-1)/5)=INT((NETWORKDAYS($B$2,F41)-1)/5),"Week "&amp;(INT((NETWORKDAYS($B$2,E41)-1)/5)+1),"Weeks "&amp;(INT((NETWORKDAYS($B$2,E41)-1)/5)+1)&amp;"-"&amp;(INT((NETWORKDAYS($B$2,F41)-1)/5)+1))</f>
        <v>Weeks 8-9</v>
      </c>
      <c r="D41" s="18" t="s">
        <v>2</v>
      </c>
      <c r="E41" s="19">
        <v>46314</v>
      </c>
      <c r="F41" s="19">
        <v>46318</v>
      </c>
      <c r="G41" s="17">
        <f>NETWORKDAYS(E41,F41)</f>
        <v>5</v>
      </c>
      <c r="H41" s="2"/>
      <c r="I41" s="4"/>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row>
    <row r="42" spans="1:78" ht="16.5" customHeight="1" x14ac:dyDescent="0.35">
      <c r="A42" s="5"/>
      <c r="B42" s="5"/>
      <c r="C42" s="5"/>
      <c r="D42" s="21" t="s">
        <v>4</v>
      </c>
      <c r="E42" s="22"/>
      <c r="F42" s="22"/>
      <c r="G42" s="23" t="str">
        <f>IF(AND(E42&lt;&gt;"",F42&lt;&gt;""),NETWORKDAYS(E42,F42),"")</f>
        <v/>
      </c>
      <c r="H42" s="2"/>
      <c r="I42" s="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row>
    <row r="43" spans="1:78" ht="16.5" customHeight="1" x14ac:dyDescent="0.35">
      <c r="A43" s="5" t="s">
        <v>45</v>
      </c>
      <c r="B43" s="4" t="s">
        <v>64</v>
      </c>
      <c r="C43" s="3" t="str">
        <f>IF(INT((NETWORKDAYS($B$2,E43)-1)/5)=INT((NETWORKDAYS($B$2,F43)-1)/5),"Week "&amp;(INT((NETWORKDAYS($B$2,E43)-1)/5)+1),"Weeks "&amp;(INT((NETWORKDAYS($B$2,E43)-1)/5)+1)&amp;"-"&amp;(INT((NETWORKDAYS($B$2,F43)-1)/5)+1))</f>
        <v>Weeks 8-9</v>
      </c>
      <c r="D43" s="18" t="s">
        <v>2</v>
      </c>
      <c r="E43" s="19">
        <v>46314</v>
      </c>
      <c r="F43" s="19">
        <v>46318</v>
      </c>
      <c r="G43" s="17">
        <f>NETWORKDAYS(E43,F43)</f>
        <v>5</v>
      </c>
      <c r="H43" s="2" t="s">
        <v>37</v>
      </c>
      <c r="I43" s="4"/>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row>
    <row r="44" spans="1:78" ht="16.5" customHeight="1" x14ac:dyDescent="0.35">
      <c r="A44" s="5"/>
      <c r="B44" s="5"/>
      <c r="C44" s="5"/>
      <c r="D44" s="21" t="s">
        <v>4</v>
      </c>
      <c r="E44" s="22">
        <v>46301</v>
      </c>
      <c r="F44" s="22"/>
      <c r="G44" s="23" t="str">
        <f>IF(AND(E44&lt;&gt;"",F44&lt;&gt;""),NETWORKDAYS(E44,F44),"")</f>
        <v/>
      </c>
      <c r="H44" s="2"/>
      <c r="I44" s="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row>
    <row r="45" spans="1:78" ht="16.5" customHeight="1" x14ac:dyDescent="0.35">
      <c r="A45" s="5" t="s">
        <v>65</v>
      </c>
      <c r="B45" s="4" t="s">
        <v>66</v>
      </c>
      <c r="C45" s="3" t="str">
        <f>IF(INT((NETWORKDAYS($B$2,E45)-1)/5)=INT((NETWORKDAYS($B$2,F45)-1)/5),"Week "&amp;(INT((NETWORKDAYS($B$2,E45)-1)/5)+1),"Weeks "&amp;(INT((NETWORKDAYS($B$2,E45)-1)/5)+1)&amp;"-"&amp;(INT((NETWORKDAYS($B$2,F45)-1)/5)+1))</f>
        <v>Weeks 5-7</v>
      </c>
      <c r="D45" s="18" t="s">
        <v>2</v>
      </c>
      <c r="E45" s="19">
        <v>46293</v>
      </c>
      <c r="F45" s="19">
        <v>46304</v>
      </c>
      <c r="G45" s="17">
        <f>NETWORKDAYS(E45,F45)</f>
        <v>10</v>
      </c>
      <c r="H45" s="2"/>
      <c r="I45" s="4" t="s">
        <v>67</v>
      </c>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row>
    <row r="46" spans="1:78" ht="16.5" customHeight="1" x14ac:dyDescent="0.35">
      <c r="A46" s="5"/>
      <c r="B46" s="5"/>
      <c r="C46" s="5"/>
      <c r="D46" s="21" t="s">
        <v>4</v>
      </c>
      <c r="E46" s="22"/>
      <c r="F46" s="22"/>
      <c r="G46" s="23" t="str">
        <f>IF(AND(E46&lt;&gt;"",F46&lt;&gt;""),NETWORKDAYS(E46,F46),"")</f>
        <v/>
      </c>
      <c r="H46" s="2"/>
      <c r="I46" s="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row>
    <row r="47" spans="1:78" ht="16.5" customHeight="1" x14ac:dyDescent="0.35">
      <c r="A47" s="5" t="s">
        <v>65</v>
      </c>
      <c r="B47" s="4" t="s">
        <v>68</v>
      </c>
      <c r="C47" s="3" t="str">
        <f>IF(INT((NETWORKDAYS($B$2,E47)-1)/5)=INT((NETWORKDAYS($B$2,F47)-1)/5),"Week "&amp;(INT((NETWORKDAYS($B$2,E47)-1)/5)+1),"Weeks "&amp;(INT((NETWORKDAYS($B$2,E47)-1)/5)+1)&amp;"-"&amp;(INT((NETWORKDAYS($B$2,F47)-1)/5)+1))</f>
        <v>Weeks 7-8</v>
      </c>
      <c r="D47" s="18" t="s">
        <v>2</v>
      </c>
      <c r="E47" s="19">
        <v>46307</v>
      </c>
      <c r="F47" s="19">
        <v>46311</v>
      </c>
      <c r="G47" s="17">
        <f>NETWORKDAYS(E47,F47)</f>
        <v>5</v>
      </c>
      <c r="H47" s="2"/>
      <c r="I47" s="4"/>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row>
    <row r="48" spans="1:78" ht="16.5" customHeight="1" x14ac:dyDescent="0.35">
      <c r="A48" s="5"/>
      <c r="B48" s="5"/>
      <c r="C48" s="5"/>
      <c r="D48" s="21" t="s">
        <v>4</v>
      </c>
      <c r="E48" s="22"/>
      <c r="F48" s="22"/>
      <c r="G48" s="23" t="str">
        <f>IF(AND(E48&lt;&gt;"",F48&lt;&gt;""),NETWORKDAYS(E48,F48),"")</f>
        <v/>
      </c>
      <c r="H48" s="2"/>
      <c r="I48" s="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row>
    <row r="49" spans="1:78" ht="16.5" customHeight="1" x14ac:dyDescent="0.35">
      <c r="A49" s="5" t="s">
        <v>65</v>
      </c>
      <c r="B49" s="4" t="s">
        <v>69</v>
      </c>
      <c r="C49" s="3" t="str">
        <f>IF(INT((NETWORKDAYS($B$2,E49)-1)/5)=INT((NETWORKDAYS($B$2,F49)-1)/5),"Week "&amp;(INT((NETWORKDAYS($B$2,E49)-1)/5)+1),"Weeks "&amp;(INT((NETWORKDAYS($B$2,E49)-1)/5)+1)&amp;"-"&amp;(INT((NETWORKDAYS($B$2,F49)-1)/5)+1))</f>
        <v>Weeks 7-8</v>
      </c>
      <c r="D49" s="18" t="s">
        <v>2</v>
      </c>
      <c r="E49" s="19">
        <v>46307</v>
      </c>
      <c r="F49" s="19">
        <v>46311</v>
      </c>
      <c r="G49" s="17">
        <f>NETWORKDAYS(E49,F49)</f>
        <v>5</v>
      </c>
      <c r="H49" s="2"/>
      <c r="I49" s="4"/>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row>
    <row r="50" spans="1:78" ht="16.5" customHeight="1" x14ac:dyDescent="0.35">
      <c r="A50" s="5"/>
      <c r="B50" s="5"/>
      <c r="C50" s="5"/>
      <c r="D50" s="21" t="s">
        <v>4</v>
      </c>
      <c r="E50" s="22"/>
      <c r="F50" s="22"/>
      <c r="G50" s="23" t="str">
        <f>IF(AND(E50&lt;&gt;"",F50&lt;&gt;""),NETWORKDAYS(E50,F50),"")</f>
        <v/>
      </c>
      <c r="H50" s="2"/>
      <c r="I50" s="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row>
    <row r="51" spans="1:78" ht="16.5" customHeight="1" x14ac:dyDescent="0.35">
      <c r="A51" s="5" t="s">
        <v>65</v>
      </c>
      <c r="B51" s="4" t="s">
        <v>70</v>
      </c>
      <c r="C51" s="3" t="str">
        <f>IF(INT((NETWORKDAYS($B$2,E51)-1)/5)=INT((NETWORKDAYS($B$2,F51)-1)/5),"Week "&amp;(INT((NETWORKDAYS($B$2,E51)-1)/5)+1),"Weeks "&amp;(INT((NETWORKDAYS($B$2,E51)-1)/5)+1)&amp;"-"&amp;(INT((NETWORKDAYS($B$2,F51)-1)/5)+1))</f>
        <v>Weeks 7-8</v>
      </c>
      <c r="D51" s="18" t="s">
        <v>2</v>
      </c>
      <c r="E51" s="19">
        <v>46307</v>
      </c>
      <c r="F51" s="19">
        <v>46311</v>
      </c>
      <c r="G51" s="17">
        <f>NETWORKDAYS(E51,F51)</f>
        <v>5</v>
      </c>
      <c r="H51" s="2"/>
      <c r="I51" s="4"/>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row>
    <row r="52" spans="1:78" ht="16.5" customHeight="1" x14ac:dyDescent="0.35">
      <c r="A52" s="5"/>
      <c r="B52" s="5"/>
      <c r="C52" s="5"/>
      <c r="D52" s="21" t="s">
        <v>4</v>
      </c>
      <c r="E52" s="22"/>
      <c r="F52" s="22"/>
      <c r="G52" s="23" t="str">
        <f>IF(AND(E52&lt;&gt;"",F52&lt;&gt;""),NETWORKDAYS(E52,F52),"")</f>
        <v/>
      </c>
      <c r="H52" s="2"/>
      <c r="I52" s="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row>
    <row r="53" spans="1:78" ht="16.5" customHeight="1" x14ac:dyDescent="0.35">
      <c r="A53" s="5" t="s">
        <v>65</v>
      </c>
      <c r="B53" s="4" t="s">
        <v>71</v>
      </c>
      <c r="C53" s="3" t="str">
        <f>IF(INT((NETWORKDAYS($B$2,E53)-1)/5)=INT((NETWORKDAYS($B$2,F53)-1)/5),"Week "&amp;(INT((NETWORKDAYS($B$2,E53)-1)/5)+1),"Weeks "&amp;(INT((NETWORKDAYS($B$2,E53)-1)/5)+1)&amp;"-"&amp;(INT((NETWORKDAYS($B$2,F53)-1)/5)+1))</f>
        <v>Weeks 8-9</v>
      </c>
      <c r="D53" s="18" t="s">
        <v>2</v>
      </c>
      <c r="E53" s="19">
        <v>46314</v>
      </c>
      <c r="F53" s="19">
        <v>46318</v>
      </c>
      <c r="G53" s="17">
        <f>NETWORKDAYS(E53,F53)</f>
        <v>5</v>
      </c>
      <c r="H53" s="2"/>
      <c r="I53" s="4"/>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row>
    <row r="54" spans="1:78" ht="16.5" customHeight="1" x14ac:dyDescent="0.35">
      <c r="A54" s="5"/>
      <c r="B54" s="5"/>
      <c r="C54" s="5"/>
      <c r="D54" s="21" t="s">
        <v>4</v>
      </c>
      <c r="E54" s="22"/>
      <c r="F54" s="22"/>
      <c r="G54" s="23" t="str">
        <f>IF(AND(E54&lt;&gt;"",F54&lt;&gt;""),NETWORKDAYS(E54,F54),"")</f>
        <v/>
      </c>
      <c r="H54" s="2"/>
      <c r="I54" s="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row>
    <row r="55" spans="1:78" ht="16.5" customHeight="1" x14ac:dyDescent="0.35">
      <c r="A55" s="5" t="s">
        <v>65</v>
      </c>
      <c r="B55" s="1" t="s">
        <v>72</v>
      </c>
      <c r="C55" s="3" t="str">
        <f>IF(INT((NETWORKDAYS($B$2,E55)-1)/5)=INT((NETWORKDAYS($B$2,F55)-1)/5),"Week "&amp;(INT((NETWORKDAYS($B$2,E55)-1)/5)+1),"Weeks "&amp;(INT((NETWORKDAYS($B$2,E55)-1)/5)+1)&amp;"-"&amp;(INT((NETWORKDAYS($B$2,F55)-1)/5)+1))</f>
        <v>Weeks 7-9</v>
      </c>
      <c r="D55" s="18" t="s">
        <v>2</v>
      </c>
      <c r="E55" s="19">
        <v>46307</v>
      </c>
      <c r="F55" s="19">
        <v>46318</v>
      </c>
      <c r="G55" s="17">
        <f>NETWORKDAYS(E55,F55)</f>
        <v>10</v>
      </c>
      <c r="H55" s="2"/>
      <c r="I55" s="1" t="s">
        <v>73</v>
      </c>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row>
    <row r="56" spans="1:78" ht="16.5" customHeight="1" x14ac:dyDescent="0.35">
      <c r="A56" s="5"/>
      <c r="B56" s="5"/>
      <c r="C56" s="5"/>
      <c r="D56" s="21" t="s">
        <v>4</v>
      </c>
      <c r="E56" s="22"/>
      <c r="F56" s="22"/>
      <c r="G56" s="23" t="str">
        <f>IF(AND(E56&lt;&gt;"",F56&lt;&gt;""),NETWORKDAYS(E56,F56),"")</f>
        <v/>
      </c>
      <c r="H56" s="2"/>
      <c r="I56" s="1"/>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row>
    <row r="57" spans="1:78" ht="16.5" customHeight="1" x14ac:dyDescent="0.35">
      <c r="A57" s="5" t="s">
        <v>65</v>
      </c>
      <c r="B57" s="4" t="s">
        <v>74</v>
      </c>
      <c r="C57" s="3" t="str">
        <f>IF(INT((NETWORKDAYS($B$2,E57)-1)/5)=INT((NETWORKDAYS($B$2,F57)-1)/5),"Week "&amp;(INT((NETWORKDAYS($B$2,E57)-1)/5)+1),"Weeks "&amp;(INT((NETWORKDAYS($B$2,E57)-1)/5)+1)&amp;"-"&amp;(INT((NETWORKDAYS($B$2,F57)-1)/5)+1))</f>
        <v>Weeks 8-10</v>
      </c>
      <c r="D57" s="18" t="s">
        <v>2</v>
      </c>
      <c r="E57" s="19">
        <v>46314</v>
      </c>
      <c r="F57" s="19">
        <v>46325</v>
      </c>
      <c r="G57" s="17">
        <f>NETWORKDAYS(E57,F57)</f>
        <v>10</v>
      </c>
      <c r="H57" s="2"/>
      <c r="I57" s="4"/>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row>
    <row r="58" spans="1:78" ht="16.5" customHeight="1" x14ac:dyDescent="0.35">
      <c r="A58" s="5"/>
      <c r="B58" s="5"/>
      <c r="C58" s="5"/>
      <c r="D58" s="21" t="s">
        <v>4</v>
      </c>
      <c r="E58" s="22"/>
      <c r="F58" s="22"/>
      <c r="G58" s="23" t="str">
        <f>IF(AND(E58&lt;&gt;"",F58&lt;&gt;""),NETWORKDAYS(E58,F58),"")</f>
        <v/>
      </c>
      <c r="H58" s="2"/>
      <c r="I58" s="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row>
    <row r="59" spans="1:78" ht="16.5" customHeight="1" x14ac:dyDescent="0.35">
      <c r="A59" s="5" t="s">
        <v>65</v>
      </c>
      <c r="B59" s="4" t="s">
        <v>75</v>
      </c>
      <c r="C59" s="3" t="str">
        <f>IF(INT((NETWORKDAYS($B$2,E59)-1)/5)=INT((NETWORKDAYS($B$2,F59)-1)/5),"Week "&amp;(INT((NETWORKDAYS($B$2,E59)-1)/5)+1),"Weeks "&amp;(INT((NETWORKDAYS($B$2,E59)-1)/5)+1)&amp;"-"&amp;(INT((NETWORKDAYS($B$2,F59)-1)/5)+1))</f>
        <v>Weeks 8-10</v>
      </c>
      <c r="D59" s="18" t="s">
        <v>2</v>
      </c>
      <c r="E59" s="19">
        <v>46314</v>
      </c>
      <c r="F59" s="19">
        <v>46325</v>
      </c>
      <c r="G59" s="17">
        <f>NETWORKDAYS(E59,F59)</f>
        <v>10</v>
      </c>
      <c r="H59" s="2"/>
      <c r="I59" s="4"/>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row>
    <row r="60" spans="1:78" ht="16.5" customHeight="1" x14ac:dyDescent="0.35">
      <c r="A60" s="5"/>
      <c r="B60" s="5"/>
      <c r="C60" s="5"/>
      <c r="D60" s="21" t="s">
        <v>4</v>
      </c>
      <c r="E60" s="22"/>
      <c r="F60" s="22"/>
      <c r="G60" s="23" t="str">
        <f>IF(AND(E60&lt;&gt;"",F60&lt;&gt;""),NETWORKDAYS(E60,F60),"")</f>
        <v/>
      </c>
      <c r="H60" s="2"/>
      <c r="I60" s="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row>
    <row r="61" spans="1:78" ht="16.5" customHeight="1" x14ac:dyDescent="0.35">
      <c r="A61" s="5" t="s">
        <v>65</v>
      </c>
      <c r="B61" s="4" t="s">
        <v>76</v>
      </c>
      <c r="C61" s="3" t="str">
        <f>IF(INT((NETWORKDAYS($B$2,E61)-1)/5)=INT((NETWORKDAYS($B$2,F61)-1)/5),"Week "&amp;(INT((NETWORKDAYS($B$2,E61)-1)/5)+1),"Weeks "&amp;(INT((NETWORKDAYS($B$2,E61)-1)/5)+1)&amp;"-"&amp;(INT((NETWORKDAYS($B$2,F61)-1)/5)+1))</f>
        <v>Weeks 9-10</v>
      </c>
      <c r="D61" s="18" t="s">
        <v>2</v>
      </c>
      <c r="E61" s="19">
        <v>46321</v>
      </c>
      <c r="F61" s="19">
        <v>46325</v>
      </c>
      <c r="G61" s="17">
        <f>NETWORKDAYS(E61,F61)</f>
        <v>5</v>
      </c>
      <c r="H61" s="2"/>
      <c r="I61" s="4"/>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row>
    <row r="62" spans="1:78" ht="16.5" customHeight="1" x14ac:dyDescent="0.35">
      <c r="A62" s="5"/>
      <c r="B62" s="5"/>
      <c r="C62" s="5"/>
      <c r="D62" s="21" t="s">
        <v>4</v>
      </c>
      <c r="E62" s="22"/>
      <c r="F62" s="22"/>
      <c r="G62" s="23" t="str">
        <f>IF(AND(E62&lt;&gt;"",F62&lt;&gt;""),NETWORKDAYS(E62,F62),"")</f>
        <v/>
      </c>
      <c r="H62" s="2"/>
      <c r="I62" s="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row>
    <row r="63" spans="1:78" ht="16.5" customHeight="1" x14ac:dyDescent="0.35">
      <c r="A63" s="5" t="s">
        <v>65</v>
      </c>
      <c r="B63" s="4" t="s">
        <v>77</v>
      </c>
      <c r="C63" s="3" t="str">
        <f>IF(INT((NETWORKDAYS($B$2,E63)-1)/5)=INT((NETWORKDAYS($B$2,F63)-1)/5),"Week "&amp;(INT((NETWORKDAYS($B$2,E63)-1)/5)+1),"Weeks "&amp;(INT((NETWORKDAYS($B$2,E63)-1)/5)+1)&amp;"-"&amp;(INT((NETWORKDAYS($B$2,F63)-1)/5)+1))</f>
        <v>Weeks 4-6</v>
      </c>
      <c r="D63" s="18" t="s">
        <v>2</v>
      </c>
      <c r="E63" s="19">
        <v>46286</v>
      </c>
      <c r="F63" s="19">
        <v>46297</v>
      </c>
      <c r="G63" s="17">
        <f>NETWORKDAYS(E63,F63)</f>
        <v>10</v>
      </c>
      <c r="H63" s="2"/>
      <c r="I63" s="4" t="s">
        <v>78</v>
      </c>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row>
    <row r="64" spans="1:78" ht="16.5" customHeight="1" x14ac:dyDescent="0.35">
      <c r="A64" s="5"/>
      <c r="B64" s="5"/>
      <c r="C64" s="5"/>
      <c r="D64" s="21" t="s">
        <v>4</v>
      </c>
      <c r="E64" s="22"/>
      <c r="F64" s="22"/>
      <c r="G64" s="23" t="str">
        <f>IF(AND(E64&lt;&gt;"",F64&lt;&gt;""),NETWORKDAYS(E64,F64),"")</f>
        <v/>
      </c>
      <c r="H64" s="2"/>
      <c r="I64" s="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row>
    <row r="65" spans="1:78" ht="16.5" customHeight="1" x14ac:dyDescent="0.35">
      <c r="A65" s="5" t="s">
        <v>65</v>
      </c>
      <c r="B65" s="4" t="s">
        <v>79</v>
      </c>
      <c r="C65" s="3" t="str">
        <f>IF(INT((NETWORKDAYS($B$2,E65)-1)/5)=INT((NETWORKDAYS($B$2,F65)-1)/5),"Week "&amp;(INT((NETWORKDAYS($B$2,E65)-1)/5)+1),"Weeks "&amp;(INT((NETWORKDAYS($B$2,E65)-1)/5)+1)&amp;"-"&amp;(INT((NETWORKDAYS($B$2,F65)-1)/5)+1))</f>
        <v>Weeks 5-8</v>
      </c>
      <c r="D65" s="18" t="s">
        <v>2</v>
      </c>
      <c r="E65" s="19">
        <v>46293</v>
      </c>
      <c r="F65" s="19">
        <v>46311</v>
      </c>
      <c r="G65" s="17">
        <f>NETWORKDAYS(E65,F65)</f>
        <v>15</v>
      </c>
      <c r="H65" s="2"/>
      <c r="I65" s="4" t="s">
        <v>80</v>
      </c>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row>
    <row r="66" spans="1:78" ht="16.5" customHeight="1" x14ac:dyDescent="0.35">
      <c r="A66" s="5"/>
      <c r="B66" s="5"/>
      <c r="C66" s="5"/>
      <c r="D66" s="21" t="s">
        <v>4</v>
      </c>
      <c r="E66" s="22"/>
      <c r="F66" s="22"/>
      <c r="G66" s="23" t="str">
        <f>IF(AND(E66&lt;&gt;"",F66&lt;&gt;""),NETWORKDAYS(E66,F66),"")</f>
        <v/>
      </c>
      <c r="H66" s="2"/>
      <c r="I66" s="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row>
    <row r="67" spans="1:78" ht="16.5" customHeight="1" x14ac:dyDescent="0.35">
      <c r="A67" s="5" t="s">
        <v>65</v>
      </c>
      <c r="B67" s="4" t="s">
        <v>81</v>
      </c>
      <c r="C67" s="3" t="str">
        <f>IF(INT((NETWORKDAYS($B$2,E67)-1)/5)=INT((NETWORKDAYS($B$2,F67)-1)/5),"Week "&amp;(INT((NETWORKDAYS($B$2,E67)-1)/5)+1),"Weeks "&amp;(INT((NETWORKDAYS($B$2,E67)-1)/5)+1)&amp;"-"&amp;(INT((NETWORKDAYS($B$2,F67)-1)/5)+1))</f>
        <v>Weeks 6-8</v>
      </c>
      <c r="D67" s="18" t="s">
        <v>2</v>
      </c>
      <c r="E67" s="19">
        <v>46300</v>
      </c>
      <c r="F67" s="19">
        <v>46311</v>
      </c>
      <c r="G67" s="17">
        <f>NETWORKDAYS(E67,F67)</f>
        <v>10</v>
      </c>
      <c r="H67" s="2"/>
      <c r="I67" s="4"/>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row>
    <row r="68" spans="1:78" ht="16.5" customHeight="1" x14ac:dyDescent="0.35">
      <c r="A68" s="5"/>
      <c r="B68" s="5"/>
      <c r="C68" s="5"/>
      <c r="D68" s="21" t="s">
        <v>4</v>
      </c>
      <c r="E68" s="22"/>
      <c r="F68" s="22"/>
      <c r="G68" s="23" t="str">
        <f>IF(AND(E68&lt;&gt;"",F68&lt;&gt;""),NETWORKDAYS(E68,F68),"")</f>
        <v/>
      </c>
      <c r="H68" s="2"/>
      <c r="I68" s="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row>
    <row r="69" spans="1:78" ht="16.5" customHeight="1" x14ac:dyDescent="0.35">
      <c r="A69" s="5" t="s">
        <v>65</v>
      </c>
      <c r="B69" s="4" t="s">
        <v>82</v>
      </c>
      <c r="C69" s="3" t="str">
        <f>IF(INT((NETWORKDAYS($B$2,E69)-1)/5)=INT((NETWORKDAYS($B$2,F69)-1)/5),"Week "&amp;(INT((NETWORKDAYS($B$2,E69)-1)/5)+1),"Weeks "&amp;(INT((NETWORKDAYS($B$2,E69)-1)/5)+1)&amp;"-"&amp;(INT((NETWORKDAYS($B$2,F69)-1)/5)+1))</f>
        <v>Weeks 8-9</v>
      </c>
      <c r="D69" s="18" t="s">
        <v>2</v>
      </c>
      <c r="E69" s="19">
        <v>46314</v>
      </c>
      <c r="F69" s="19">
        <v>46318</v>
      </c>
      <c r="G69" s="17">
        <f>NETWORKDAYS(E69,F69)</f>
        <v>5</v>
      </c>
      <c r="H69" s="2"/>
      <c r="I69" s="4"/>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row>
    <row r="70" spans="1:78" ht="16.5" customHeight="1" x14ac:dyDescent="0.35">
      <c r="A70" s="5"/>
      <c r="B70" s="5"/>
      <c r="C70" s="5"/>
      <c r="D70" s="21" t="s">
        <v>4</v>
      </c>
      <c r="E70" s="22"/>
      <c r="F70" s="22"/>
      <c r="G70" s="23" t="str">
        <f>IF(AND(E70&lt;&gt;"",F70&lt;&gt;""),NETWORKDAYS(E70,F70),"")</f>
        <v/>
      </c>
      <c r="H70" s="2"/>
      <c r="I70" s="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row>
    <row r="71" spans="1:78" ht="16.5" customHeight="1" x14ac:dyDescent="0.35">
      <c r="A71" s="5" t="s">
        <v>83</v>
      </c>
      <c r="B71" s="4" t="s">
        <v>84</v>
      </c>
      <c r="C71" s="3" t="str">
        <f>IF(INT((NETWORKDAYS($B$2,E71)-1)/5)=INT((NETWORKDAYS($B$2,F71)-1)/5),"Week "&amp;(INT((NETWORKDAYS($B$2,E71)-1)/5)+1),"Weeks "&amp;(INT((NETWORKDAYS($B$2,E71)-1)/5)+1)&amp;"-"&amp;(INT((NETWORKDAYS($B$2,F71)-1)/5)+1))</f>
        <v>Weeks 9-11</v>
      </c>
      <c r="D71" s="18" t="s">
        <v>2</v>
      </c>
      <c r="E71" s="19">
        <v>46321</v>
      </c>
      <c r="F71" s="19">
        <v>46332</v>
      </c>
      <c r="G71" s="17">
        <f>NETWORKDAYS(E71,F71)</f>
        <v>10</v>
      </c>
      <c r="H71" s="2"/>
      <c r="I71" s="4"/>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row>
    <row r="72" spans="1:78" ht="16.5" customHeight="1" x14ac:dyDescent="0.35">
      <c r="A72" s="5"/>
      <c r="B72" s="5"/>
      <c r="C72" s="5"/>
      <c r="D72" s="21" t="s">
        <v>4</v>
      </c>
      <c r="E72" s="22"/>
      <c r="F72" s="22"/>
      <c r="G72" s="23" t="str">
        <f>IF(AND(E72&lt;&gt;"",F72&lt;&gt;""),NETWORKDAYS(E72,F72),"")</f>
        <v/>
      </c>
      <c r="H72" s="2"/>
      <c r="I72" s="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row>
    <row r="73" spans="1:78" ht="16.5" customHeight="1" x14ac:dyDescent="0.35">
      <c r="A73" s="5" t="s">
        <v>83</v>
      </c>
      <c r="B73" s="4" t="s">
        <v>85</v>
      </c>
      <c r="C73" s="3" t="str">
        <f>IF(INT((NETWORKDAYS($B$2,E73)-1)/5)=INT((NETWORKDAYS($B$2,F73)-1)/5),"Week "&amp;(INT((NETWORKDAYS($B$2,E73)-1)/5)+1),"Weeks "&amp;(INT((NETWORKDAYS($B$2,E73)-1)/5)+1)&amp;"-"&amp;(INT((NETWORKDAYS($B$2,F73)-1)/5)+1))</f>
        <v>Weeks 9-10</v>
      </c>
      <c r="D73" s="18" t="s">
        <v>2</v>
      </c>
      <c r="E73" s="19">
        <v>46320</v>
      </c>
      <c r="F73" s="19">
        <v>46327</v>
      </c>
      <c r="G73" s="17">
        <f>NETWORKDAYS(E73,F73)</f>
        <v>5</v>
      </c>
      <c r="H73" s="2"/>
      <c r="I73" s="4"/>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row>
    <row r="74" spans="1:78" ht="16.5" customHeight="1" x14ac:dyDescent="0.35">
      <c r="A74" s="5"/>
      <c r="B74" s="5"/>
      <c r="C74" s="5"/>
      <c r="D74" s="21" t="s">
        <v>4</v>
      </c>
      <c r="E74" s="22"/>
      <c r="F74" s="22"/>
      <c r="G74" s="23" t="str">
        <f>IF(AND(E74&lt;&gt;"",F74&lt;&gt;""),NETWORKDAYS(E74,F74),"")</f>
        <v/>
      </c>
      <c r="H74" s="2"/>
      <c r="I74" s="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row>
    <row r="75" spans="1:78" ht="16.5" customHeight="1" x14ac:dyDescent="0.35">
      <c r="A75" s="5" t="s">
        <v>83</v>
      </c>
      <c r="B75" s="4" t="s">
        <v>86</v>
      </c>
      <c r="C75" s="3" t="str">
        <f>IF(INT((NETWORKDAYS($B$2,E75)-1)/5)=INT((NETWORKDAYS($B$2,F75)-1)/5),"Week "&amp;(INT((NETWORKDAYS($B$2,E75)-1)/5)+1),"Weeks "&amp;(INT((NETWORKDAYS($B$2,E75)-1)/5)+1)&amp;"-"&amp;(INT((NETWORKDAYS($B$2,F75)-1)/5)+1))</f>
        <v>Week 10</v>
      </c>
      <c r="D75" s="18" t="s">
        <v>2</v>
      </c>
      <c r="E75" s="19">
        <v>46325</v>
      </c>
      <c r="F75" s="19">
        <v>46331</v>
      </c>
      <c r="G75" s="17">
        <f>NETWORKDAYS(E75,F75)</f>
        <v>5</v>
      </c>
      <c r="H75" s="2"/>
      <c r="I75" s="4"/>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row>
    <row r="76" spans="1:78" ht="16.5" customHeight="1" x14ac:dyDescent="0.35">
      <c r="A76" s="5"/>
      <c r="B76" s="5"/>
      <c r="C76" s="5"/>
      <c r="D76" s="21" t="s">
        <v>4</v>
      </c>
      <c r="E76" s="22"/>
      <c r="F76" s="22"/>
      <c r="G76" s="23" t="str">
        <f>IF(AND(E76&lt;&gt;"",F76&lt;&gt;""),NETWORKDAYS(E76,F76),"")</f>
        <v/>
      </c>
      <c r="H76" s="2"/>
      <c r="I76" s="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row>
    <row r="77" spans="1:78" ht="16.5" customHeight="1" x14ac:dyDescent="0.35">
      <c r="A77" s="5" t="s">
        <v>83</v>
      </c>
      <c r="B77" s="4" t="s">
        <v>87</v>
      </c>
      <c r="C77" s="3" t="str">
        <f>IF(INT((NETWORKDAYS($B$2,E77)-1)/5)=INT((NETWORKDAYS($B$2,F77)-1)/5),"Week "&amp;(INT((NETWORKDAYS($B$2,E77)-1)/5)+1),"Weeks "&amp;(INT((NETWORKDAYS($B$2,E77)-1)/5)+1)&amp;"-"&amp;(INT((NETWORKDAYS($B$2,F77)-1)/5)+1))</f>
        <v>Weeks 9-11</v>
      </c>
      <c r="D77" s="18" t="s">
        <v>2</v>
      </c>
      <c r="E77" s="19">
        <v>46320</v>
      </c>
      <c r="F77" s="19">
        <v>46334</v>
      </c>
      <c r="G77" s="17">
        <f>NETWORKDAYS(E77,F77)</f>
        <v>10</v>
      </c>
      <c r="H77" s="2"/>
      <c r="I77" s="4" t="s">
        <v>88</v>
      </c>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row>
    <row r="78" spans="1:78" ht="16.5" customHeight="1" x14ac:dyDescent="0.35">
      <c r="A78" s="5"/>
      <c r="B78" s="5"/>
      <c r="C78" s="5"/>
      <c r="D78" s="21" t="s">
        <v>4</v>
      </c>
      <c r="E78" s="22"/>
      <c r="F78" s="22"/>
      <c r="G78" s="23" t="str">
        <f>IF(AND(E78&lt;&gt;"",F78&lt;&gt;""),NETWORKDAYS(E78,F78),"")</f>
        <v/>
      </c>
      <c r="H78" s="2"/>
      <c r="I78" s="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row>
    <row r="79" spans="1:78" ht="16.5" customHeight="1" x14ac:dyDescent="0.35">
      <c r="A79" s="5" t="s">
        <v>83</v>
      </c>
      <c r="B79" s="4" t="s">
        <v>89</v>
      </c>
      <c r="C79" s="3" t="str">
        <f>IF(INT((NETWORKDAYS($B$2,E79)-1)/5)=INT((NETWORKDAYS($B$2,F79)-1)/5),"Week "&amp;(INT((NETWORKDAYS($B$2,E79)-1)/5)+1),"Weeks "&amp;(INT((NETWORKDAYS($B$2,E79)-1)/5)+1)&amp;"-"&amp;(INT((NETWORKDAYS($B$2,F79)-1)/5)+1))</f>
        <v>Weeks 9-10</v>
      </c>
      <c r="D79" s="18" t="s">
        <v>2</v>
      </c>
      <c r="E79" s="19">
        <v>46321</v>
      </c>
      <c r="F79" s="19">
        <v>46331</v>
      </c>
      <c r="G79" s="17">
        <f>NETWORKDAYS(E79,F79)</f>
        <v>9</v>
      </c>
      <c r="H79" s="2"/>
      <c r="I79" s="4"/>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row>
    <row r="80" spans="1:78" ht="16.5" customHeight="1" x14ac:dyDescent="0.35">
      <c r="A80" s="5"/>
      <c r="B80" s="5"/>
      <c r="C80" s="5"/>
      <c r="D80" s="21" t="s">
        <v>4</v>
      </c>
      <c r="E80" s="22"/>
      <c r="F80" s="22"/>
      <c r="G80" s="23" t="str">
        <f>IF(AND(E80&lt;&gt;"",F80&lt;&gt;""),NETWORKDAYS(E80,F80),"")</f>
        <v/>
      </c>
      <c r="H80" s="2"/>
      <c r="I80" s="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row>
    <row r="81" spans="1:78" ht="16.5" customHeight="1" x14ac:dyDescent="0.35">
      <c r="A81" s="5" t="s">
        <v>83</v>
      </c>
      <c r="B81" s="4" t="s">
        <v>90</v>
      </c>
      <c r="C81" s="3" t="str">
        <f>IF(INT((NETWORKDAYS($B$2,E81)-1)/5)=INT((NETWORKDAYS($B$2,F81)-1)/5),"Week "&amp;(INT((NETWORKDAYS($B$2,E81)-1)/5)+1),"Weeks "&amp;(INT((NETWORKDAYS($B$2,E81)-1)/5)+1)&amp;"-"&amp;(INT((NETWORKDAYS($B$2,F81)-1)/5)+1))</f>
        <v>Weeks 9-12</v>
      </c>
      <c r="D81" s="18" t="s">
        <v>2</v>
      </c>
      <c r="E81" s="19">
        <v>46321</v>
      </c>
      <c r="F81" s="19">
        <v>46341</v>
      </c>
      <c r="G81" s="17">
        <f>NETWORKDAYS(E81,F81)</f>
        <v>15</v>
      </c>
      <c r="H81" s="2"/>
      <c r="I81" s="4"/>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row>
    <row r="82" spans="1:78" ht="16.5" customHeight="1" x14ac:dyDescent="0.35">
      <c r="A82" s="5"/>
      <c r="B82" s="5"/>
      <c r="C82" s="5"/>
      <c r="D82" s="21" t="s">
        <v>4</v>
      </c>
      <c r="E82" s="22"/>
      <c r="F82" s="22"/>
      <c r="G82" s="23" t="str">
        <f>IF(AND(E82&lt;&gt;"",F82&lt;&gt;""),NETWORKDAYS(E82,F82),"")</f>
        <v/>
      </c>
      <c r="H82" s="2"/>
      <c r="I82" s="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row>
    <row r="83" spans="1:78" ht="16.5" customHeight="1" x14ac:dyDescent="0.35">
      <c r="A83" s="5" t="s">
        <v>83</v>
      </c>
      <c r="B83" s="4" t="s">
        <v>91</v>
      </c>
      <c r="C83" s="3" t="str">
        <f>IF(INT((NETWORKDAYS($B$2,E83)-1)/5)=INT((NETWORKDAYS($B$2,F83)-1)/5),"Week "&amp;(INT((NETWORKDAYS($B$2,E83)-1)/5)+1),"Weeks "&amp;(INT((NETWORKDAYS($B$2,E83)-1)/5)+1)&amp;"-"&amp;(INT((NETWORKDAYS($B$2,F83)-1)/5)+1))</f>
        <v>Weeks 10-12</v>
      </c>
      <c r="D83" s="18" t="s">
        <v>2</v>
      </c>
      <c r="E83" s="19">
        <v>46327</v>
      </c>
      <c r="F83" s="19">
        <v>46339</v>
      </c>
      <c r="G83" s="17">
        <f>NETWORKDAYS(E83,F83)</f>
        <v>10</v>
      </c>
      <c r="H83" s="2"/>
      <c r="I83" s="4"/>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row>
    <row r="84" spans="1:78" ht="16.5" customHeight="1" x14ac:dyDescent="0.35">
      <c r="A84" s="5"/>
      <c r="B84" s="5"/>
      <c r="C84" s="5"/>
      <c r="D84" s="21" t="s">
        <v>4</v>
      </c>
      <c r="E84" s="22"/>
      <c r="F84" s="22"/>
      <c r="G84" s="23" t="str">
        <f>IF(AND(E84&lt;&gt;"",F84&lt;&gt;""),NETWORKDAYS(E84,F84),"")</f>
        <v/>
      </c>
      <c r="H84" s="2"/>
      <c r="I84" s="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row>
    <row r="85" spans="1:78" ht="16.5" customHeight="1" x14ac:dyDescent="0.35">
      <c r="A85" s="5" t="s">
        <v>83</v>
      </c>
      <c r="B85" s="4" t="s">
        <v>92</v>
      </c>
      <c r="C85" s="3" t="str">
        <f>IF(INT((NETWORKDAYS($B$2,E85)-1)/5)=INT((NETWORKDAYS($B$2,F85)-1)/5),"Week "&amp;(INT((NETWORKDAYS($B$2,E85)-1)/5)+1),"Weeks "&amp;(INT((NETWORKDAYS($B$2,E85)-1)/5)+1)&amp;"-"&amp;(INT((NETWORKDAYS($B$2,F85)-1)/5)+1))</f>
        <v>Weeks 11-12</v>
      </c>
      <c r="D85" s="18" t="s">
        <v>2</v>
      </c>
      <c r="E85" s="19">
        <v>46335</v>
      </c>
      <c r="F85" s="19">
        <v>46343</v>
      </c>
      <c r="G85" s="17">
        <f>NETWORKDAYS(E85,F85)</f>
        <v>7</v>
      </c>
      <c r="H85" s="2"/>
      <c r="I85" s="4"/>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row>
    <row r="86" spans="1:78" ht="16.5" customHeight="1" x14ac:dyDescent="0.35">
      <c r="A86" s="5"/>
      <c r="B86" s="5"/>
      <c r="C86" s="5"/>
      <c r="D86" s="21" t="s">
        <v>4</v>
      </c>
      <c r="E86" s="22"/>
      <c r="F86" s="22"/>
      <c r="G86" s="23" t="str">
        <f>IF(AND(E86&lt;&gt;"",F86&lt;&gt;""),NETWORKDAYS(E86,F86),"")</f>
        <v/>
      </c>
      <c r="H86" s="2"/>
      <c r="I86" s="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row>
    <row r="87" spans="1:78" ht="16.5" customHeight="1" x14ac:dyDescent="0.35">
      <c r="A87" s="5" t="s">
        <v>83</v>
      </c>
      <c r="B87" s="4" t="s">
        <v>93</v>
      </c>
      <c r="C87" s="3" t="str">
        <f>IF(INT((NETWORKDAYS($B$2,E87)-1)/5)=INT((NETWORKDAYS($B$2,F87)-1)/5),"Week "&amp;(INT((NETWORKDAYS($B$2,E87)-1)/5)+1),"Weeks "&amp;(INT((NETWORKDAYS($B$2,E87)-1)/5)+1)&amp;"-"&amp;(INT((NETWORKDAYS($B$2,F87)-1)/5)+1))</f>
        <v>Weeks 12-13</v>
      </c>
      <c r="D87" s="18" t="s">
        <v>2</v>
      </c>
      <c r="E87" s="19">
        <v>46342</v>
      </c>
      <c r="F87" s="19">
        <v>46346</v>
      </c>
      <c r="G87" s="17">
        <f>NETWORKDAYS(E87,F87)</f>
        <v>5</v>
      </c>
      <c r="H87" s="2"/>
      <c r="I87" s="4"/>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row>
    <row r="88" spans="1:78" ht="16.5" customHeight="1" x14ac:dyDescent="0.35">
      <c r="A88" s="5"/>
      <c r="B88" s="5"/>
      <c r="C88" s="5"/>
      <c r="D88" s="21" t="s">
        <v>4</v>
      </c>
      <c r="E88" s="22"/>
      <c r="F88" s="22"/>
      <c r="G88" s="23" t="str">
        <f>IF(AND(E88&lt;&gt;"",F88&lt;&gt;""),NETWORKDAYS(E88,F88),"")</f>
        <v/>
      </c>
      <c r="H88" s="2"/>
      <c r="I88" s="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row>
    <row r="89" spans="1:78" ht="16.5" customHeight="1" x14ac:dyDescent="0.35">
      <c r="A89" s="5" t="s">
        <v>83</v>
      </c>
      <c r="B89" s="4" t="s">
        <v>94</v>
      </c>
      <c r="C89" s="3" t="str">
        <f>IF(INT((NETWORKDAYS($B$2,E89)-1)/5)=INT((NETWORKDAYS($B$2,F89)-1)/5),"Week "&amp;(INT((NETWORKDAYS($B$2,E89)-1)/5)+1),"Weeks "&amp;(INT((NETWORKDAYS($B$2,E89)-1)/5)+1)&amp;"-"&amp;(INT((NETWORKDAYS($B$2,F89)-1)/5)+1))</f>
        <v>Weeks 12-13</v>
      </c>
      <c r="D89" s="18" t="s">
        <v>2</v>
      </c>
      <c r="E89" s="19">
        <v>46342</v>
      </c>
      <c r="F89" s="19">
        <v>46346</v>
      </c>
      <c r="G89" s="17">
        <f>NETWORKDAYS(E89,F89)</f>
        <v>5</v>
      </c>
      <c r="H89" s="2"/>
      <c r="I89" s="4"/>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row>
    <row r="90" spans="1:78" ht="16.5" customHeight="1" x14ac:dyDescent="0.35">
      <c r="A90" s="5"/>
      <c r="B90" s="5"/>
      <c r="C90" s="5"/>
      <c r="D90" s="21" t="s">
        <v>4</v>
      </c>
      <c r="E90" s="22"/>
      <c r="F90" s="22"/>
      <c r="G90" s="23" t="str">
        <f>IF(AND(E90&lt;&gt;"",F90&lt;&gt;""),NETWORKDAYS(E90,F90),"")</f>
        <v/>
      </c>
      <c r="H90" s="2"/>
      <c r="I90" s="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row>
    <row r="91" spans="1:78" ht="16.5" customHeight="1" x14ac:dyDescent="0.35">
      <c r="A91" s="5" t="s">
        <v>95</v>
      </c>
      <c r="B91" s="4" t="s">
        <v>96</v>
      </c>
      <c r="C91" s="3" t="str">
        <f>IF(INT((NETWORKDAYS($B$2,E91)-1)/5)=INT((NETWORKDAYS($B$2,F91)-1)/5),"Week "&amp;(INT((NETWORKDAYS($B$2,E91)-1)/5)+1),"Weeks "&amp;(INT((NETWORKDAYS($B$2,E91)-1)/5)+1)&amp;"-"&amp;(INT((NETWORKDAYS($B$2,F91)-1)/5)+1))</f>
        <v>Weeks 8-12</v>
      </c>
      <c r="D91" s="18" t="s">
        <v>2</v>
      </c>
      <c r="E91" s="19">
        <v>46314</v>
      </c>
      <c r="F91" s="19">
        <v>46339</v>
      </c>
      <c r="G91" s="17">
        <f>NETWORKDAYS(E91,F91)</f>
        <v>20</v>
      </c>
      <c r="H91" s="2"/>
      <c r="I91" s="4" t="s">
        <v>97</v>
      </c>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row>
    <row r="92" spans="1:78" ht="16.5" customHeight="1" x14ac:dyDescent="0.35">
      <c r="A92" s="5"/>
      <c r="B92" s="5"/>
      <c r="C92" s="5"/>
      <c r="D92" s="21" t="s">
        <v>4</v>
      </c>
      <c r="E92" s="22"/>
      <c r="F92" s="22"/>
      <c r="G92" s="23" t="str">
        <f>IF(AND(E92&lt;&gt;"",F92&lt;&gt;""),NETWORKDAYS(E92,F92),"")</f>
        <v/>
      </c>
      <c r="H92" s="2"/>
      <c r="I92" s="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row>
    <row r="93" spans="1:78" ht="16.5" customHeight="1" x14ac:dyDescent="0.35">
      <c r="A93" s="5" t="s">
        <v>95</v>
      </c>
      <c r="B93" s="4" t="s">
        <v>98</v>
      </c>
      <c r="C93" s="3" t="str">
        <f>IF(INT((NETWORKDAYS($B$2,E93)-1)/5)=INT((NETWORKDAYS($B$2,F93)-1)/5),"Week "&amp;(INT((NETWORKDAYS($B$2,E93)-1)/5)+1),"Weeks "&amp;(INT((NETWORKDAYS($B$2,E93)-1)/5)+1)&amp;"-"&amp;(INT((NETWORKDAYS($B$2,F93)-1)/5)+1))</f>
        <v>Weeks 12-13</v>
      </c>
      <c r="D93" s="18" t="s">
        <v>2</v>
      </c>
      <c r="E93" s="19">
        <v>46342</v>
      </c>
      <c r="F93" s="19">
        <v>46346</v>
      </c>
      <c r="G93" s="17">
        <f>NETWORKDAYS(E93,F93)</f>
        <v>5</v>
      </c>
      <c r="H93" s="2"/>
      <c r="I93" s="4" t="s">
        <v>99</v>
      </c>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row>
    <row r="94" spans="1:78" ht="16.5" customHeight="1" x14ac:dyDescent="0.35">
      <c r="A94" s="5"/>
      <c r="B94" s="5"/>
      <c r="C94" s="5"/>
      <c r="D94" s="21" t="s">
        <v>4</v>
      </c>
      <c r="E94" s="22"/>
      <c r="F94" s="22"/>
      <c r="G94" s="23" t="str">
        <f>IF(AND(E94&lt;&gt;"",F94&lt;&gt;""),NETWORKDAYS(E94,F94),"")</f>
        <v/>
      </c>
      <c r="H94" s="2"/>
      <c r="I94" s="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row>
    <row r="95" spans="1:78" ht="16.5" customHeight="1" x14ac:dyDescent="0.35">
      <c r="A95" s="5" t="s">
        <v>95</v>
      </c>
      <c r="B95" s="4" t="s">
        <v>100</v>
      </c>
      <c r="C95" s="3" t="str">
        <f>IF(INT((NETWORKDAYS($B$2,E95)-1)/5)=INT((NETWORKDAYS($B$2,F95)-1)/5),"Week "&amp;(INT((NETWORKDAYS($B$2,E95)-1)/5)+1),"Weeks "&amp;(INT((NETWORKDAYS($B$2,E95)-1)/5)+1)&amp;"-"&amp;(INT((NETWORKDAYS($B$2,F95)-1)/5)+1))</f>
        <v>Weeks 12-13</v>
      </c>
      <c r="D95" s="18" t="s">
        <v>2</v>
      </c>
      <c r="E95" s="19">
        <v>46342</v>
      </c>
      <c r="F95" s="19">
        <v>46346</v>
      </c>
      <c r="G95" s="17">
        <f>NETWORKDAYS(E95,F95)</f>
        <v>5</v>
      </c>
      <c r="H95" s="2"/>
      <c r="I95" s="4"/>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row>
    <row r="96" spans="1:78" ht="16.5" customHeight="1" x14ac:dyDescent="0.35">
      <c r="A96" s="5"/>
      <c r="B96" s="5"/>
      <c r="C96" s="5"/>
      <c r="D96" s="21" t="s">
        <v>4</v>
      </c>
      <c r="E96" s="22"/>
      <c r="F96" s="22"/>
      <c r="G96" s="23" t="str">
        <f>IF(AND(E96&lt;&gt;"",F96&lt;&gt;""),NETWORKDAYS(E96,F96),"")</f>
        <v/>
      </c>
      <c r="H96" s="2"/>
      <c r="I96" s="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row>
    <row r="97" spans="1:78" ht="16.5" customHeight="1" x14ac:dyDescent="0.35">
      <c r="A97" s="5" t="s">
        <v>95</v>
      </c>
      <c r="B97" s="4" t="s">
        <v>101</v>
      </c>
      <c r="C97" s="3" t="str">
        <f>IF(INT((NETWORKDAYS($B$2,E97)-1)/5)=INT((NETWORKDAYS($B$2,F97)-1)/5),"Week "&amp;(INT((NETWORKDAYS($B$2,E97)-1)/5)+1),"Weeks "&amp;(INT((NETWORKDAYS($B$2,E97)-1)/5)+1)&amp;"-"&amp;(INT((NETWORKDAYS($B$2,F97)-1)/5)+1))</f>
        <v>Week 13</v>
      </c>
      <c r="D97" s="18" t="s">
        <v>2</v>
      </c>
      <c r="E97" s="19">
        <v>46351</v>
      </c>
      <c r="F97" s="19">
        <v>46351</v>
      </c>
      <c r="G97" s="17">
        <f>NETWORKDAYS(E97,F97)</f>
        <v>1</v>
      </c>
      <c r="H97" s="2"/>
      <c r="I97" s="4" t="s">
        <v>102</v>
      </c>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row>
    <row r="98" spans="1:78" ht="16.5" customHeight="1" x14ac:dyDescent="0.35">
      <c r="A98" s="5"/>
      <c r="B98" s="5"/>
      <c r="C98" s="5"/>
      <c r="D98" s="21" t="s">
        <v>4</v>
      </c>
      <c r="E98" s="22"/>
      <c r="F98" s="22"/>
      <c r="G98" s="23" t="str">
        <f>IF(AND(E98&lt;&gt;"",F98&lt;&gt;""),NETWORKDAYS(E98,F98),"")</f>
        <v/>
      </c>
      <c r="H98" s="2"/>
      <c r="I98" s="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row>
    <row r="99" spans="1:78" ht="16.5" customHeight="1" x14ac:dyDescent="0.35">
      <c r="A99" s="5" t="s">
        <v>95</v>
      </c>
      <c r="B99" s="4" t="s">
        <v>103</v>
      </c>
      <c r="C99" s="3" t="str">
        <f>IF(INT((NETWORKDAYS($B$2,E99)-1)/5)=INT((NETWORKDAYS($B$2,F99)-1)/5),"Week "&amp;(INT((NETWORKDAYS($B$2,E99)-1)/5)+1),"Weeks "&amp;(INT((NETWORKDAYS($B$2,E99)-1)/5)+1)&amp;"-"&amp;(INT((NETWORKDAYS($B$2,F99)-1)/5)+1))</f>
        <v>Weeks 12-14</v>
      </c>
      <c r="D99" s="18" t="s">
        <v>2</v>
      </c>
      <c r="E99" s="19">
        <v>46341</v>
      </c>
      <c r="F99" s="19">
        <v>46353</v>
      </c>
      <c r="G99" s="17">
        <f>NETWORKDAYS(E99,F99)</f>
        <v>10</v>
      </c>
      <c r="H99" s="2"/>
      <c r="I99" s="4" t="s">
        <v>104</v>
      </c>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row>
    <row r="100" spans="1:78" ht="16.5" customHeight="1" x14ac:dyDescent="0.35">
      <c r="A100" s="5"/>
      <c r="B100" s="5"/>
      <c r="C100" s="5"/>
      <c r="D100" s="21" t="s">
        <v>4</v>
      </c>
      <c r="E100" s="22"/>
      <c r="F100" s="22"/>
      <c r="G100" s="23" t="str">
        <f>IF(AND(E100&lt;&gt;"",F100&lt;&gt;""),NETWORKDAYS(E100,F100),"")</f>
        <v/>
      </c>
      <c r="H100" s="2"/>
      <c r="I100" s="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row>
    <row r="101" spans="1:78" ht="16.5" customHeight="1" x14ac:dyDescent="0.35">
      <c r="A101" s="5" t="s">
        <v>95</v>
      </c>
      <c r="B101" s="4" t="s">
        <v>105</v>
      </c>
      <c r="C101" s="3" t="str">
        <f>IF(INT((NETWORKDAYS($B$2,E101)-1)/5)=INT((NETWORKDAYS($B$2,F101)-1)/5),"Week "&amp;(INT((NETWORKDAYS($B$2,E101)-1)/5)+1),"Weeks "&amp;(INT((NETWORKDAYS($B$2,E101)-1)/5)+1)&amp;"-"&amp;(INT((NETWORKDAYS($B$2,F101)-1)/5)+1))</f>
        <v>Week 14</v>
      </c>
      <c r="D101" s="18" t="s">
        <v>2</v>
      </c>
      <c r="E101" s="19">
        <v>46356</v>
      </c>
      <c r="F101" s="19">
        <v>46356</v>
      </c>
      <c r="G101" s="17">
        <f>NETWORKDAYS(E101,F101)</f>
        <v>1</v>
      </c>
      <c r="H101" s="2"/>
      <c r="I101" s="4" t="s">
        <v>106</v>
      </c>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row>
    <row r="102" spans="1:78" ht="16.5" customHeight="1" x14ac:dyDescent="0.35">
      <c r="A102" s="5"/>
      <c r="B102" s="5"/>
      <c r="C102" s="5"/>
      <c r="D102" s="21" t="s">
        <v>4</v>
      </c>
      <c r="E102" s="22"/>
      <c r="F102" s="22"/>
      <c r="G102" s="23" t="str">
        <f>IF(AND(E102&lt;&gt;"",F102&lt;&gt;""),NETWORKDAYS(E102,F102),"")</f>
        <v/>
      </c>
      <c r="H102" s="2"/>
      <c r="I102" s="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row>
    <row r="103" spans="1:78" ht="16.5" customHeight="1" x14ac:dyDescent="0.35">
      <c r="A103" s="5" t="s">
        <v>95</v>
      </c>
      <c r="B103" s="4" t="s">
        <v>107</v>
      </c>
      <c r="C103" s="3" t="str">
        <f>IF(INT((NETWORKDAYS($B$2,E103)-1)/5)=INT((NETWORKDAYS($B$2,F103)-1)/5),"Week "&amp;(INT((NETWORKDAYS($B$2,E103)-1)/5)+1),"Weeks "&amp;(INT((NETWORKDAYS($B$2,E103)-1)/5)+1)&amp;"-"&amp;(INT((NETWORKDAYS($B$2,F103)-1)/5)+1))</f>
        <v>Weeks 13-14</v>
      </c>
      <c r="D103" s="18" t="s">
        <v>2</v>
      </c>
      <c r="E103" s="19">
        <v>46349</v>
      </c>
      <c r="F103" s="19">
        <v>46357</v>
      </c>
      <c r="G103" s="17">
        <f>NETWORKDAYS(E103,F103)</f>
        <v>7</v>
      </c>
      <c r="H103" s="2"/>
      <c r="I103" s="4"/>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row>
    <row r="104" spans="1:78" ht="16.5" customHeight="1" x14ac:dyDescent="0.35">
      <c r="A104" s="5"/>
      <c r="B104" s="5"/>
      <c r="C104" s="5"/>
      <c r="D104" s="21" t="s">
        <v>4</v>
      </c>
      <c r="E104" s="22"/>
      <c r="F104" s="22"/>
      <c r="G104" s="23" t="str">
        <f>IF(AND(E104&lt;&gt;"",F104&lt;&gt;""),NETWORKDAYS(E104,F104),"")</f>
        <v/>
      </c>
      <c r="H104" s="2"/>
      <c r="I104" s="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row>
    <row r="105" spans="1:78" ht="16.5" customHeight="1" x14ac:dyDescent="0.35">
      <c r="A105" s="5" t="s">
        <v>95</v>
      </c>
      <c r="B105" s="4" t="s">
        <v>108</v>
      </c>
      <c r="C105" s="3" t="str">
        <f>IF(INT((NETWORKDAYS($B$2,E105)-1)/5)=INT((NETWORKDAYS($B$2,F105)-1)/5),"Week "&amp;(INT((NETWORKDAYS($B$2,E105)-1)/5)+1),"Weeks "&amp;(INT((NETWORKDAYS($B$2,E105)-1)/5)+1)&amp;"-"&amp;(INT((NETWORKDAYS($B$2,F105)-1)/5)+1))</f>
        <v>Week 14</v>
      </c>
      <c r="D105" s="18" t="s">
        <v>2</v>
      </c>
      <c r="E105" s="19">
        <v>46353</v>
      </c>
      <c r="F105" s="19">
        <v>46357</v>
      </c>
      <c r="G105" s="17">
        <f>NETWORKDAYS(E105,F105)</f>
        <v>3</v>
      </c>
      <c r="H105" s="2"/>
      <c r="I105" s="4"/>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row>
    <row r="106" spans="1:78" ht="16.5" customHeight="1" x14ac:dyDescent="0.35">
      <c r="A106" s="5"/>
      <c r="B106" s="5"/>
      <c r="C106" s="5"/>
      <c r="D106" s="21" t="s">
        <v>4</v>
      </c>
      <c r="E106" s="22"/>
      <c r="F106" s="22"/>
      <c r="G106" s="23" t="str">
        <f>IF(AND(E106&lt;&gt;"",F106&lt;&gt;""),NETWORKDAYS(E106,F106),"")</f>
        <v/>
      </c>
      <c r="H106" s="2"/>
      <c r="I106" s="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row>
    <row r="107" spans="1:78" ht="16.5" customHeight="1" x14ac:dyDescent="0.35">
      <c r="A107" s="5" t="s">
        <v>95</v>
      </c>
      <c r="B107" s="4" t="s">
        <v>109</v>
      </c>
      <c r="C107" s="3" t="str">
        <f>IF(INT((NETWORKDAYS($B$2,E107)-1)/5)=INT((NETWORKDAYS($B$2,F107)-1)/5),"Week "&amp;(INT((NETWORKDAYS($B$2,E107)-1)/5)+1),"Weeks "&amp;(INT((NETWORKDAYS($B$2,E107)-1)/5)+1)&amp;"-"&amp;(INT((NETWORKDAYS($B$2,F107)-1)/5)+1))</f>
        <v>Week 14</v>
      </c>
      <c r="D107" s="18" t="s">
        <v>2</v>
      </c>
      <c r="E107" s="19">
        <v>46358</v>
      </c>
      <c r="F107" s="19">
        <v>46358</v>
      </c>
      <c r="G107" s="17">
        <f>NETWORKDAYS(E107,F107)</f>
        <v>1</v>
      </c>
      <c r="H107" s="2"/>
      <c r="I107" s="4" t="s">
        <v>110</v>
      </c>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row>
    <row r="108" spans="1:78" ht="16.5" customHeight="1" x14ac:dyDescent="0.35">
      <c r="A108" s="5"/>
      <c r="B108" s="5"/>
      <c r="C108" s="5"/>
      <c r="D108" s="21" t="s">
        <v>4</v>
      </c>
      <c r="E108" s="22"/>
      <c r="F108" s="22"/>
      <c r="G108" s="23" t="str">
        <f>IF(AND(E108&lt;&gt;"",F108&lt;&gt;""),NETWORKDAYS(E108,F108),"")</f>
        <v/>
      </c>
      <c r="H108" s="2"/>
      <c r="I108" s="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row>
    <row r="110" spans="1:78" x14ac:dyDescent="0.35">
      <c r="A110" s="25"/>
    </row>
    <row r="111" spans="1:78" x14ac:dyDescent="0.35">
      <c r="A111" s="25"/>
    </row>
    <row r="112" spans="1:78" x14ac:dyDescent="0.35">
      <c r="A112" s="25"/>
    </row>
  </sheetData>
  <mergeCells count="274">
    <mergeCell ref="A107:A108"/>
    <mergeCell ref="B107:B108"/>
    <mergeCell ref="C107:C108"/>
    <mergeCell ref="H107:H108"/>
    <mergeCell ref="I107:I108"/>
    <mergeCell ref="A103:A104"/>
    <mergeCell ref="B103:B104"/>
    <mergeCell ref="C103:C104"/>
    <mergeCell ref="H103:H104"/>
    <mergeCell ref="I103:I104"/>
    <mergeCell ref="A105:A106"/>
    <mergeCell ref="B105:B106"/>
    <mergeCell ref="C105:C106"/>
    <mergeCell ref="H105:H106"/>
    <mergeCell ref="I105:I106"/>
    <mergeCell ref="A99:A100"/>
    <mergeCell ref="B99:B100"/>
    <mergeCell ref="C99:C100"/>
    <mergeCell ref="H99:H100"/>
    <mergeCell ref="I99:I100"/>
    <mergeCell ref="A101:A102"/>
    <mergeCell ref="B101:B102"/>
    <mergeCell ref="C101:C102"/>
    <mergeCell ref="H101:H102"/>
    <mergeCell ref="I101:I102"/>
    <mergeCell ref="A95:A96"/>
    <mergeCell ref="B95:B96"/>
    <mergeCell ref="C95:C96"/>
    <mergeCell ref="H95:H96"/>
    <mergeCell ref="I95:I96"/>
    <mergeCell ref="A97:A98"/>
    <mergeCell ref="B97:B98"/>
    <mergeCell ref="C97:C98"/>
    <mergeCell ref="H97:H98"/>
    <mergeCell ref="I97:I98"/>
    <mergeCell ref="A91:A92"/>
    <mergeCell ref="B91:B92"/>
    <mergeCell ref="C91:C92"/>
    <mergeCell ref="H91:H92"/>
    <mergeCell ref="I91:I92"/>
    <mergeCell ref="A93:A94"/>
    <mergeCell ref="B93:B94"/>
    <mergeCell ref="C93:C94"/>
    <mergeCell ref="H93:H94"/>
    <mergeCell ref="I93:I94"/>
    <mergeCell ref="A87:A88"/>
    <mergeCell ref="B87:B88"/>
    <mergeCell ref="C87:C88"/>
    <mergeCell ref="H87:H88"/>
    <mergeCell ref="I87:I88"/>
    <mergeCell ref="A89:A90"/>
    <mergeCell ref="B89:B90"/>
    <mergeCell ref="C89:C90"/>
    <mergeCell ref="H89:H90"/>
    <mergeCell ref="I89:I90"/>
    <mergeCell ref="A83:A84"/>
    <mergeCell ref="B83:B84"/>
    <mergeCell ref="C83:C84"/>
    <mergeCell ref="H83:H84"/>
    <mergeCell ref="I83:I84"/>
    <mergeCell ref="A85:A86"/>
    <mergeCell ref="B85:B86"/>
    <mergeCell ref="C85:C86"/>
    <mergeCell ref="H85:H86"/>
    <mergeCell ref="I85:I86"/>
    <mergeCell ref="A79:A80"/>
    <mergeCell ref="B79:B80"/>
    <mergeCell ref="C79:C80"/>
    <mergeCell ref="H79:H80"/>
    <mergeCell ref="I79:I80"/>
    <mergeCell ref="A81:A82"/>
    <mergeCell ref="B81:B82"/>
    <mergeCell ref="C81:C82"/>
    <mergeCell ref="H81:H82"/>
    <mergeCell ref="I81:I82"/>
    <mergeCell ref="A75:A76"/>
    <mergeCell ref="B75:B76"/>
    <mergeCell ref="C75:C76"/>
    <mergeCell ref="H75:H76"/>
    <mergeCell ref="I75:I76"/>
    <mergeCell ref="A77:A78"/>
    <mergeCell ref="B77:B78"/>
    <mergeCell ref="C77:C78"/>
    <mergeCell ref="H77:H78"/>
    <mergeCell ref="I77:I78"/>
    <mergeCell ref="A71:A72"/>
    <mergeCell ref="B71:B72"/>
    <mergeCell ref="C71:C72"/>
    <mergeCell ref="H71:H72"/>
    <mergeCell ref="I71:I72"/>
    <mergeCell ref="A73:A74"/>
    <mergeCell ref="B73:B74"/>
    <mergeCell ref="C73:C74"/>
    <mergeCell ref="H73:H74"/>
    <mergeCell ref="I73:I74"/>
    <mergeCell ref="A67:A68"/>
    <mergeCell ref="B67:B68"/>
    <mergeCell ref="C67:C68"/>
    <mergeCell ref="H67:H68"/>
    <mergeCell ref="I67:I68"/>
    <mergeCell ref="A69:A70"/>
    <mergeCell ref="B69:B70"/>
    <mergeCell ref="C69:C70"/>
    <mergeCell ref="H69:H70"/>
    <mergeCell ref="I69:I70"/>
    <mergeCell ref="A63:A64"/>
    <mergeCell ref="B63:B64"/>
    <mergeCell ref="C63:C64"/>
    <mergeCell ref="H63:H64"/>
    <mergeCell ref="I63:I64"/>
    <mergeCell ref="A65:A66"/>
    <mergeCell ref="B65:B66"/>
    <mergeCell ref="C65:C66"/>
    <mergeCell ref="H65:H66"/>
    <mergeCell ref="I65:I66"/>
    <mergeCell ref="A59:A60"/>
    <mergeCell ref="B59:B60"/>
    <mergeCell ref="C59:C60"/>
    <mergeCell ref="H59:H60"/>
    <mergeCell ref="I59:I60"/>
    <mergeCell ref="A61:A62"/>
    <mergeCell ref="B61:B62"/>
    <mergeCell ref="C61:C62"/>
    <mergeCell ref="H61:H62"/>
    <mergeCell ref="I61:I62"/>
    <mergeCell ref="A55:A56"/>
    <mergeCell ref="B55:B56"/>
    <mergeCell ref="C55:C56"/>
    <mergeCell ref="H55:H56"/>
    <mergeCell ref="I55:I56"/>
    <mergeCell ref="A57:A58"/>
    <mergeCell ref="B57:B58"/>
    <mergeCell ref="C57:C58"/>
    <mergeCell ref="H57:H58"/>
    <mergeCell ref="I57:I58"/>
    <mergeCell ref="A51:A52"/>
    <mergeCell ref="B51:B52"/>
    <mergeCell ref="C51:C52"/>
    <mergeCell ref="H51:H52"/>
    <mergeCell ref="I51:I52"/>
    <mergeCell ref="A53:A54"/>
    <mergeCell ref="B53:B54"/>
    <mergeCell ref="C53:C54"/>
    <mergeCell ref="H53:H54"/>
    <mergeCell ref="I53:I54"/>
    <mergeCell ref="A47:A48"/>
    <mergeCell ref="B47:B48"/>
    <mergeCell ref="C47:C48"/>
    <mergeCell ref="H47:H48"/>
    <mergeCell ref="I47:I48"/>
    <mergeCell ref="A49:A50"/>
    <mergeCell ref="B49:B50"/>
    <mergeCell ref="C49:C50"/>
    <mergeCell ref="H49:H50"/>
    <mergeCell ref="I49:I50"/>
    <mergeCell ref="A43:A44"/>
    <mergeCell ref="B43:B44"/>
    <mergeCell ref="C43:C44"/>
    <mergeCell ref="H43:H44"/>
    <mergeCell ref="I43:I44"/>
    <mergeCell ref="A45:A46"/>
    <mergeCell ref="B45:B46"/>
    <mergeCell ref="C45:C46"/>
    <mergeCell ref="H45:H46"/>
    <mergeCell ref="I45:I46"/>
    <mergeCell ref="A39:A40"/>
    <mergeCell ref="B39:B40"/>
    <mergeCell ref="C39:C40"/>
    <mergeCell ref="H39:H40"/>
    <mergeCell ref="I39:I40"/>
    <mergeCell ref="A41:A42"/>
    <mergeCell ref="B41:B42"/>
    <mergeCell ref="C41:C42"/>
    <mergeCell ref="H41:H42"/>
    <mergeCell ref="I41:I42"/>
    <mergeCell ref="A35:A36"/>
    <mergeCell ref="B35:B36"/>
    <mergeCell ref="C35:C36"/>
    <mergeCell ref="H35:H36"/>
    <mergeCell ref="I35:I36"/>
    <mergeCell ref="A37:A38"/>
    <mergeCell ref="B37:B38"/>
    <mergeCell ref="C37:C38"/>
    <mergeCell ref="H37:H38"/>
    <mergeCell ref="I37:I38"/>
    <mergeCell ref="A31:A32"/>
    <mergeCell ref="B31:B32"/>
    <mergeCell ref="C31:C32"/>
    <mergeCell ref="H31:H32"/>
    <mergeCell ref="I31:I32"/>
    <mergeCell ref="A33:A34"/>
    <mergeCell ref="B33:B34"/>
    <mergeCell ref="C33:C34"/>
    <mergeCell ref="H33:H34"/>
    <mergeCell ref="I33:I34"/>
    <mergeCell ref="A27:A28"/>
    <mergeCell ref="B27:B28"/>
    <mergeCell ref="C27:C28"/>
    <mergeCell ref="H27:H28"/>
    <mergeCell ref="I27:I28"/>
    <mergeCell ref="A29:A30"/>
    <mergeCell ref="B29:B30"/>
    <mergeCell ref="C29:C30"/>
    <mergeCell ref="H29:H30"/>
    <mergeCell ref="I29:I30"/>
    <mergeCell ref="A23:A24"/>
    <mergeCell ref="B23:B24"/>
    <mergeCell ref="C23:C24"/>
    <mergeCell ref="H23:H24"/>
    <mergeCell ref="I23:I24"/>
    <mergeCell ref="A25:A26"/>
    <mergeCell ref="B25:B26"/>
    <mergeCell ref="C25:C26"/>
    <mergeCell ref="H25:H26"/>
    <mergeCell ref="I25:I26"/>
    <mergeCell ref="A19:A20"/>
    <mergeCell ref="B19:B20"/>
    <mergeCell ref="C19:C20"/>
    <mergeCell ref="H19:H20"/>
    <mergeCell ref="I19:I20"/>
    <mergeCell ref="A21:A22"/>
    <mergeCell ref="B21:B22"/>
    <mergeCell ref="C21:C22"/>
    <mergeCell ref="H21:H22"/>
    <mergeCell ref="I21:I22"/>
    <mergeCell ref="A15:A16"/>
    <mergeCell ref="B15:B16"/>
    <mergeCell ref="C15:C16"/>
    <mergeCell ref="H15:H16"/>
    <mergeCell ref="I15:I16"/>
    <mergeCell ref="A17:A18"/>
    <mergeCell ref="B17:B18"/>
    <mergeCell ref="C17:C18"/>
    <mergeCell ref="H17:H18"/>
    <mergeCell ref="I17:I18"/>
    <mergeCell ref="A11:A12"/>
    <mergeCell ref="B11:B12"/>
    <mergeCell ref="C11:C12"/>
    <mergeCell ref="H11:H12"/>
    <mergeCell ref="I11:I12"/>
    <mergeCell ref="A13:A14"/>
    <mergeCell ref="B13:B14"/>
    <mergeCell ref="C13:C14"/>
    <mergeCell ref="H13:H14"/>
    <mergeCell ref="I13:I14"/>
    <mergeCell ref="A7:A8"/>
    <mergeCell ref="B7:B8"/>
    <mergeCell ref="C7:C8"/>
    <mergeCell ref="H7:H8"/>
    <mergeCell ref="I7:I8"/>
    <mergeCell ref="A9:A10"/>
    <mergeCell ref="B9:B10"/>
    <mergeCell ref="C9:C10"/>
    <mergeCell ref="H9:H10"/>
    <mergeCell ref="I9:I10"/>
    <mergeCell ref="BC3:BG3"/>
    <mergeCell ref="BH3:BL3"/>
    <mergeCell ref="BM3:BQ3"/>
    <mergeCell ref="BR3:BV3"/>
    <mergeCell ref="BW3:BZ3"/>
    <mergeCell ref="J4:K4"/>
    <mergeCell ref="L4:AG4"/>
    <mergeCell ref="AH4:BC4"/>
    <mergeCell ref="BD4:BX4"/>
    <mergeCell ref="BY4:BZ4"/>
    <mergeCell ref="J3:N3"/>
    <mergeCell ref="O3:S3"/>
    <mergeCell ref="T3:X3"/>
    <mergeCell ref="Y3:AC3"/>
    <mergeCell ref="AD3:AH3"/>
    <mergeCell ref="AI3:AM3"/>
    <mergeCell ref="AN3:AR3"/>
    <mergeCell ref="AS3:AW3"/>
    <mergeCell ref="AX3:BB3"/>
  </mergeCells>
  <conditionalFormatting sqref="H7:H108">
    <cfRule type="expression" dxfId="10" priority="7">
      <formula>$H7="Done"</formula>
    </cfRule>
  </conditionalFormatting>
  <conditionalFormatting sqref="J7:BZ108">
    <cfRule type="expression" dxfId="9" priority="2">
      <formula>AND(NOT(MOD(ROW()-7,2)=1),J$5&gt;=$E7,J$5&lt;=$F7)</formula>
    </cfRule>
    <cfRule type="expression" dxfId="8" priority="3">
      <formula>AND(MOD(ROW()-7,2)=1,$E7&lt;&gt;"",J$5&gt;=$E7,J$5&lt;=IF($F7&lt;&gt;"",$F7,MAX($B$4,$E7)))</formula>
    </cfRule>
    <cfRule type="expression" dxfId="7" priority="4">
      <formula>J$5=$B$4</formula>
    </cfRule>
    <cfRule type="expression" dxfId="6" priority="5">
      <formula>MOD(ROW()-7,2)=1</formula>
    </cfRule>
  </conditionalFormatting>
  <dataValidations count="2">
    <dataValidation type="list" allowBlank="1" sqref="H7 H9 H11 H13 H15 H17 H19 H21 H23 H25 H27 H29 H31 H33 H35 H37 H39 H41 H43 H45 H47 H49 H51 H53 H55 H57 H59 H61 H63 H65 H67 H69 H71 H73 H75 H77 H79 H81 H83 H85 H87 H89 H91 H93 H95 H97 H99 H101 H103 H105 H107" xr:uid="{00000000-0002-0000-0000-000000000000}">
      <formula1>"Done,In progress"</formula1>
      <formula2>0</formula2>
    </dataValidation>
    <dataValidation type="date" operator="greaterThan" allowBlank="1" showErrorMessage="1" errorTitle="Date needed" error="Enter a date, e.g. 4 Sep 2026" sqref="E8:F8 E10:F10 E12:F12 E14:F14 E16:F16 E18:F18 E20:F20 E22:F22 E24:F24 E26:F26 E28:F28 E30:F30 E32:F32 E34:F34 E36:F36 E38:F38 E40:F40 E42:F42 E44:F44 E46:F46 E48:F48 E50:F50 E52:F52 E54:F54 E56:F56 E58:F58 E60:F60 E62:F62 E64:F64 E66:F66 E68:F68 E70:F70 E72:F72 E74:F74 E76:F76 E78:F78 E80:F80 E82:F82 E84:F84 E86:F86 E88:F88 E90:F90 E92:F92 E94:F94 E96:F96 E98:F98 E100:F100 E102:F102 E104:F104 E106:F106 E108:F108" xr:uid="{00000000-0002-0000-0000-000001000000}">
      <formula1>46000</formula1>
      <formula2>0</formula2>
    </dataValidation>
  </dataValidations>
  <pageMargins left="0.75" right="0.75" top="1" bottom="1" header="0.511811023622047" footer="0.511811023622047"/>
  <pageSetup paperSize="8"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Gantt</vt:lpstr>
      <vt:lpstr>Gantt!Print_Titles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5123 Jovian Lim Zheng Yuan</cp:lastModifiedBy>
  <cp:revision>0</cp:revision>
  <dcterms:created xsi:type="dcterms:W3CDTF">2026-10-08T22:59:31Z</dcterms:created>
  <dcterms:modified xsi:type="dcterms:W3CDTF">2026-10-08T23:42:16Z</dcterms:modified>
  <dc:language>en-US</dc:language>
</cp:coreProperties>
</file>